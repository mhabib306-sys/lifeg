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an 2026" sheetId="2" state="visible" r:id="rId2"/>
    <sheet xmlns:r="http://schemas.openxmlformats.org/officeDocument/2006/relationships" name="Feb 2026" sheetId="3" state="visible" r:id="rId3"/>
    <sheet xmlns:r="http://schemas.openxmlformats.org/officeDocument/2006/relationships" name="Mar 2026" sheetId="4" state="visible" r:id="rId4"/>
    <sheet xmlns:r="http://schemas.openxmlformats.org/officeDocument/2006/relationships" name="Apr 2026" sheetId="5" state="visible" r:id="rId5"/>
    <sheet xmlns:r="http://schemas.openxmlformats.org/officeDocument/2006/relationships" name="May 2026" sheetId="6" state="visible" r:id="rId6"/>
    <sheet xmlns:r="http://schemas.openxmlformats.org/officeDocument/2006/relationships" name="Jun 2026" sheetId="7" state="visible" r:id="rId7"/>
    <sheet xmlns:r="http://schemas.openxmlformats.org/officeDocument/2006/relationships" name="Jul 2026" sheetId="8" state="visible" r:id="rId8"/>
    <sheet xmlns:r="http://schemas.openxmlformats.org/officeDocument/2006/relationships" name="Aug 2026" sheetId="9" state="visible" r:id="rId9"/>
    <sheet xmlns:r="http://schemas.openxmlformats.org/officeDocument/2006/relationships" name="Sep 2026" sheetId="10" state="visible" r:id="rId10"/>
    <sheet xmlns:r="http://schemas.openxmlformats.org/officeDocument/2006/relationships" name="Oct 2026" sheetId="11" state="visible" r:id="rId11"/>
    <sheet xmlns:r="http://schemas.openxmlformats.org/officeDocument/2006/relationships" name="Nov 2026" sheetId="12" state="visible" r:id="rId12"/>
    <sheet xmlns:r="http://schemas.openxmlformats.org/officeDocument/2006/relationships" name="Dec 2026" sheetId="13" state="visible" r:id="rId13"/>
    <sheet xmlns:r="http://schemas.openxmlformats.org/officeDocument/2006/relationships" name="Jan 2027" sheetId="14" state="visible" r:id="rId14"/>
    <sheet xmlns:r="http://schemas.openxmlformats.org/officeDocument/2006/relationships" name="Feb 2027" sheetId="15" state="visible" r:id="rId15"/>
    <sheet xmlns:r="http://schemas.openxmlformats.org/officeDocument/2006/relationships" name="Mar 2027" sheetId="16" state="visible" r:id="rId16"/>
    <sheet xmlns:r="http://schemas.openxmlformats.org/officeDocument/2006/relationships" name="Apr 2027" sheetId="17" state="visible" r:id="rId17"/>
    <sheet xmlns:r="http://schemas.openxmlformats.org/officeDocument/2006/relationships" name="May 2027" sheetId="18" state="visible" r:id="rId18"/>
    <sheet xmlns:r="http://schemas.openxmlformats.org/officeDocument/2006/relationships" name="Jun 2027" sheetId="19" state="visible" r:id="rId19"/>
    <sheet xmlns:r="http://schemas.openxmlformats.org/officeDocument/2006/relationships" name="Jul 2027" sheetId="20" state="visible" r:id="rId20"/>
    <sheet xmlns:r="http://schemas.openxmlformats.org/officeDocument/2006/relationships" name="Aug 2027" sheetId="21" state="visible" r:id="rId21"/>
    <sheet xmlns:r="http://schemas.openxmlformats.org/officeDocument/2006/relationships" name="Sep 2027" sheetId="22" state="visible" r:id="rId22"/>
    <sheet xmlns:r="http://schemas.openxmlformats.org/officeDocument/2006/relationships" name="Oct 2027" sheetId="23" state="visible" r:id="rId23"/>
    <sheet xmlns:r="http://schemas.openxmlformats.org/officeDocument/2006/relationships" name="Nov 2027" sheetId="24" state="visible" r:id="rId24"/>
    <sheet xmlns:r="http://schemas.openxmlformats.org/officeDocument/2006/relationships" name="Dec 2027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666666"/>
      <sz val="8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F59E0B"/>
        <bgColor rgb="00F59E0B"/>
      </patternFill>
    </fill>
    <fill>
      <patternFill patternType="solid">
        <fgColor rgb="00F97316"/>
        <bgColor rgb="00F9731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📊 Life Gamification Dashboard - 2026-2027</t>
        </is>
      </c>
    </row>
    <row r="3">
      <c r="A3" s="2" t="inlineStr">
        <is>
          <t>Monthly Summary</t>
        </is>
      </c>
    </row>
    <row r="4">
      <c r="A4" s="3" t="inlineStr">
        <is>
          <t>Month</t>
        </is>
      </c>
      <c r="B4" s="3" t="inlineStr">
        <is>
          <t>Days Logged</t>
        </is>
      </c>
      <c r="C4" s="3" t="inlineStr">
        <is>
          <t>Total Score</t>
        </is>
      </c>
      <c r="D4" s="3" t="inlineStr">
        <is>
          <t>Avg Daily</t>
        </is>
      </c>
      <c r="E4" s="3" t="inlineStr">
        <is>
          <t>Prayer Pts</t>
        </is>
      </c>
      <c r="F4" s="3" t="inlineStr">
        <is>
          <t>Family Pts</t>
        </is>
      </c>
      <c r="G4" s="3" t="inlineStr">
        <is>
          <t>Habit Pts</t>
        </is>
      </c>
    </row>
    <row r="5">
      <c r="A5" s="4" t="inlineStr">
        <is>
          <t>Jan 2026</t>
        </is>
      </c>
      <c r="B5" s="4">
        <f>COUNTA('Jan 2026'!A4:A34)</f>
        <v/>
      </c>
      <c r="C5" s="4">
        <f>SUM('Jan 2026'!AR4:AR34)</f>
        <v/>
      </c>
      <c r="D5" s="4">
        <f>IF(B5&gt;0,ROUND(C5/B5,0),0)</f>
        <v/>
      </c>
      <c r="E5" s="4">
        <f>SUM('Jan 2026'!AM4:AM34)</f>
        <v/>
      </c>
      <c r="F5" s="4">
        <f>SUM('Jan 2026'!AP4:AP34)</f>
        <v/>
      </c>
      <c r="G5" s="4">
        <f>SUM('Jan 2026'!AQ4:AQ34)</f>
        <v/>
      </c>
    </row>
    <row r="6">
      <c r="A6" s="4" t="inlineStr">
        <is>
          <t>Feb 2026</t>
        </is>
      </c>
      <c r="B6" s="4">
        <f>COUNTA('Feb 2026'!A4:A34)</f>
        <v/>
      </c>
      <c r="C6" s="4">
        <f>SUM('Feb 2026'!AR4:AR34)</f>
        <v/>
      </c>
      <c r="D6" s="4">
        <f>IF(B6&gt;0,ROUND(C6/B6,0),0)</f>
        <v/>
      </c>
      <c r="E6" s="4">
        <f>SUM('Feb 2026'!AM4:AM34)</f>
        <v/>
      </c>
      <c r="F6" s="4">
        <f>SUM('Feb 2026'!AP4:AP34)</f>
        <v/>
      </c>
      <c r="G6" s="4">
        <f>SUM('Feb 2026'!AQ4:AQ34)</f>
        <v/>
      </c>
    </row>
    <row r="7">
      <c r="A7" s="4" t="inlineStr">
        <is>
          <t>Mar 2026</t>
        </is>
      </c>
      <c r="B7" s="4">
        <f>COUNTA('Mar 2026'!A4:A34)</f>
        <v/>
      </c>
      <c r="C7" s="4">
        <f>SUM('Mar 2026'!AR4:AR34)</f>
        <v/>
      </c>
      <c r="D7" s="4">
        <f>IF(B7&gt;0,ROUND(C7/B7,0),0)</f>
        <v/>
      </c>
      <c r="E7" s="4">
        <f>SUM('Mar 2026'!AM4:AM34)</f>
        <v/>
      </c>
      <c r="F7" s="4">
        <f>SUM('Mar 2026'!AP4:AP34)</f>
        <v/>
      </c>
      <c r="G7" s="4">
        <f>SUM('Mar 2026'!AQ4:AQ34)</f>
        <v/>
      </c>
    </row>
    <row r="8">
      <c r="A8" s="4" t="inlineStr">
        <is>
          <t>Apr 2026</t>
        </is>
      </c>
      <c r="B8" s="4">
        <f>COUNTA('Apr 2026'!A4:A34)</f>
        <v/>
      </c>
      <c r="C8" s="4">
        <f>SUM('Apr 2026'!AR4:AR34)</f>
        <v/>
      </c>
      <c r="D8" s="4">
        <f>IF(B8&gt;0,ROUND(C8/B8,0),0)</f>
        <v/>
      </c>
      <c r="E8" s="4">
        <f>SUM('Apr 2026'!AM4:AM34)</f>
        <v/>
      </c>
      <c r="F8" s="4">
        <f>SUM('Apr 2026'!AP4:AP34)</f>
        <v/>
      </c>
      <c r="G8" s="4">
        <f>SUM('Apr 2026'!AQ4:AQ34)</f>
        <v/>
      </c>
    </row>
    <row r="9">
      <c r="A9" s="4" t="inlineStr">
        <is>
          <t>May 2026</t>
        </is>
      </c>
      <c r="B9" s="4">
        <f>COUNTA('May 2026'!A4:A34)</f>
        <v/>
      </c>
      <c r="C9" s="4">
        <f>SUM('May 2026'!AR4:AR34)</f>
        <v/>
      </c>
      <c r="D9" s="4">
        <f>IF(B9&gt;0,ROUND(C9/B9,0),0)</f>
        <v/>
      </c>
      <c r="E9" s="4">
        <f>SUM('May 2026'!AM4:AM34)</f>
        <v/>
      </c>
      <c r="F9" s="4">
        <f>SUM('May 2026'!AP4:AP34)</f>
        <v/>
      </c>
      <c r="G9" s="4">
        <f>SUM('May 2026'!AQ4:AQ34)</f>
        <v/>
      </c>
    </row>
    <row r="10">
      <c r="A10" s="4" t="inlineStr">
        <is>
          <t>Jun 2026</t>
        </is>
      </c>
      <c r="B10" s="4">
        <f>COUNTA('Jun 2026'!A4:A34)</f>
        <v/>
      </c>
      <c r="C10" s="4">
        <f>SUM('Jun 2026'!AR4:AR34)</f>
        <v/>
      </c>
      <c r="D10" s="4">
        <f>IF(B10&gt;0,ROUND(C10/B10,0),0)</f>
        <v/>
      </c>
      <c r="E10" s="4">
        <f>SUM('Jun 2026'!AM4:AM34)</f>
        <v/>
      </c>
      <c r="F10" s="4">
        <f>SUM('Jun 2026'!AP4:AP34)</f>
        <v/>
      </c>
      <c r="G10" s="4">
        <f>SUM('Jun 2026'!AQ4:AQ34)</f>
        <v/>
      </c>
    </row>
    <row r="11">
      <c r="A11" s="4" t="inlineStr">
        <is>
          <t>Jul 2026</t>
        </is>
      </c>
      <c r="B11" s="4">
        <f>COUNTA('Jul 2026'!A4:A34)</f>
        <v/>
      </c>
      <c r="C11" s="4">
        <f>SUM('Jul 2026'!AR4:AR34)</f>
        <v/>
      </c>
      <c r="D11" s="4">
        <f>IF(B11&gt;0,ROUND(C11/B11,0),0)</f>
        <v/>
      </c>
      <c r="E11" s="4">
        <f>SUM('Jul 2026'!AM4:AM34)</f>
        <v/>
      </c>
      <c r="F11" s="4">
        <f>SUM('Jul 2026'!AP4:AP34)</f>
        <v/>
      </c>
      <c r="G11" s="4">
        <f>SUM('Jul 2026'!AQ4:AQ34)</f>
        <v/>
      </c>
    </row>
    <row r="12">
      <c r="A12" s="4" t="inlineStr">
        <is>
          <t>Aug 2026</t>
        </is>
      </c>
      <c r="B12" s="4">
        <f>COUNTA('Aug 2026'!A4:A34)</f>
        <v/>
      </c>
      <c r="C12" s="4">
        <f>SUM('Aug 2026'!AR4:AR34)</f>
        <v/>
      </c>
      <c r="D12" s="4">
        <f>IF(B12&gt;0,ROUND(C12/B12,0),0)</f>
        <v/>
      </c>
      <c r="E12" s="4">
        <f>SUM('Aug 2026'!AM4:AM34)</f>
        <v/>
      </c>
      <c r="F12" s="4">
        <f>SUM('Aug 2026'!AP4:AP34)</f>
        <v/>
      </c>
      <c r="G12" s="4">
        <f>SUM('Aug 2026'!AQ4:AQ34)</f>
        <v/>
      </c>
    </row>
    <row r="13">
      <c r="A13" s="4" t="inlineStr">
        <is>
          <t>Sep 2026</t>
        </is>
      </c>
      <c r="B13" s="4">
        <f>COUNTA('Sep 2026'!A4:A34)</f>
        <v/>
      </c>
      <c r="C13" s="4">
        <f>SUM('Sep 2026'!AR4:AR34)</f>
        <v/>
      </c>
      <c r="D13" s="4">
        <f>IF(B13&gt;0,ROUND(C13/B13,0),0)</f>
        <v/>
      </c>
      <c r="E13" s="4">
        <f>SUM('Sep 2026'!AM4:AM34)</f>
        <v/>
      </c>
      <c r="F13" s="4">
        <f>SUM('Sep 2026'!AP4:AP34)</f>
        <v/>
      </c>
      <c r="G13" s="4">
        <f>SUM('Sep 2026'!AQ4:AQ34)</f>
        <v/>
      </c>
    </row>
    <row r="14">
      <c r="A14" s="4" t="inlineStr">
        <is>
          <t>Oct 2026</t>
        </is>
      </c>
      <c r="B14" s="4">
        <f>COUNTA('Oct 2026'!A4:A34)</f>
        <v/>
      </c>
      <c r="C14" s="4">
        <f>SUM('Oct 2026'!AR4:AR34)</f>
        <v/>
      </c>
      <c r="D14" s="4">
        <f>IF(B14&gt;0,ROUND(C14/B14,0),0)</f>
        <v/>
      </c>
      <c r="E14" s="4">
        <f>SUM('Oct 2026'!AM4:AM34)</f>
        <v/>
      </c>
      <c r="F14" s="4">
        <f>SUM('Oct 2026'!AP4:AP34)</f>
        <v/>
      </c>
      <c r="G14" s="4">
        <f>SUM('Oct 2026'!AQ4:AQ34)</f>
        <v/>
      </c>
    </row>
    <row r="15">
      <c r="A15" s="4" t="inlineStr">
        <is>
          <t>Nov 2026</t>
        </is>
      </c>
      <c r="B15" s="4">
        <f>COUNTA('Nov 2026'!A4:A34)</f>
        <v/>
      </c>
      <c r="C15" s="4">
        <f>SUM('Nov 2026'!AR4:AR34)</f>
        <v/>
      </c>
      <c r="D15" s="4">
        <f>IF(B15&gt;0,ROUND(C15/B15,0),0)</f>
        <v/>
      </c>
      <c r="E15" s="4">
        <f>SUM('Nov 2026'!AM4:AM34)</f>
        <v/>
      </c>
      <c r="F15" s="4">
        <f>SUM('Nov 2026'!AP4:AP34)</f>
        <v/>
      </c>
      <c r="G15" s="4">
        <f>SUM('Nov 2026'!AQ4:AQ34)</f>
        <v/>
      </c>
    </row>
    <row r="16">
      <c r="A16" s="4" t="inlineStr">
        <is>
          <t>Dec 2026</t>
        </is>
      </c>
      <c r="B16" s="4">
        <f>COUNTA('Dec 2026'!A4:A34)</f>
        <v/>
      </c>
      <c r="C16" s="4">
        <f>SUM('Dec 2026'!AR4:AR34)</f>
        <v/>
      </c>
      <c r="D16" s="4">
        <f>IF(B16&gt;0,ROUND(C16/B16,0),0)</f>
        <v/>
      </c>
      <c r="E16" s="4">
        <f>SUM('Dec 2026'!AM4:AM34)</f>
        <v/>
      </c>
      <c r="F16" s="4">
        <f>SUM('Dec 2026'!AP4:AP34)</f>
        <v/>
      </c>
      <c r="G16" s="4">
        <f>SUM('Dec 2026'!AQ4:AQ34)</f>
        <v/>
      </c>
    </row>
    <row r="17">
      <c r="A17" s="4" t="inlineStr">
        <is>
          <t>Jan 2027</t>
        </is>
      </c>
      <c r="B17" s="4">
        <f>COUNTA('Jan 2027'!A4:A34)</f>
        <v/>
      </c>
      <c r="C17" s="4">
        <f>SUM('Jan 2027'!AR4:AR34)</f>
        <v/>
      </c>
      <c r="D17" s="4">
        <f>IF(B17&gt;0,ROUND(C17/B17,0),0)</f>
        <v/>
      </c>
      <c r="E17" s="4">
        <f>SUM('Jan 2027'!AM4:AM34)</f>
        <v/>
      </c>
      <c r="F17" s="4">
        <f>SUM('Jan 2027'!AP4:AP34)</f>
        <v/>
      </c>
      <c r="G17" s="4">
        <f>SUM('Jan 2027'!AQ4:AQ34)</f>
        <v/>
      </c>
    </row>
    <row r="18">
      <c r="A18" s="4" t="inlineStr">
        <is>
          <t>Feb 2027</t>
        </is>
      </c>
      <c r="B18" s="4">
        <f>COUNTA('Feb 2027'!A4:A34)</f>
        <v/>
      </c>
      <c r="C18" s="4">
        <f>SUM('Feb 2027'!AR4:AR34)</f>
        <v/>
      </c>
      <c r="D18" s="4">
        <f>IF(B18&gt;0,ROUND(C18/B18,0),0)</f>
        <v/>
      </c>
      <c r="E18" s="4">
        <f>SUM('Feb 2027'!AM4:AM34)</f>
        <v/>
      </c>
      <c r="F18" s="4">
        <f>SUM('Feb 2027'!AP4:AP34)</f>
        <v/>
      </c>
      <c r="G18" s="4">
        <f>SUM('Feb 2027'!AQ4:AQ34)</f>
        <v/>
      </c>
    </row>
    <row r="19">
      <c r="A19" s="4" t="inlineStr">
        <is>
          <t>Mar 2027</t>
        </is>
      </c>
      <c r="B19" s="4">
        <f>COUNTA('Mar 2027'!A4:A34)</f>
        <v/>
      </c>
      <c r="C19" s="4">
        <f>SUM('Mar 2027'!AR4:AR34)</f>
        <v/>
      </c>
      <c r="D19" s="4">
        <f>IF(B19&gt;0,ROUND(C19/B19,0),0)</f>
        <v/>
      </c>
      <c r="E19" s="4">
        <f>SUM('Mar 2027'!AM4:AM34)</f>
        <v/>
      </c>
      <c r="F19" s="4">
        <f>SUM('Mar 2027'!AP4:AP34)</f>
        <v/>
      </c>
      <c r="G19" s="4">
        <f>SUM('Mar 2027'!AQ4:AQ34)</f>
        <v/>
      </c>
    </row>
    <row r="20">
      <c r="A20" s="4" t="inlineStr">
        <is>
          <t>Apr 2027</t>
        </is>
      </c>
      <c r="B20" s="4">
        <f>COUNTA('Apr 2027'!A4:A34)</f>
        <v/>
      </c>
      <c r="C20" s="4">
        <f>SUM('Apr 2027'!AR4:AR34)</f>
        <v/>
      </c>
      <c r="D20" s="4">
        <f>IF(B20&gt;0,ROUND(C20/B20,0),0)</f>
        <v/>
      </c>
      <c r="E20" s="4">
        <f>SUM('Apr 2027'!AM4:AM34)</f>
        <v/>
      </c>
      <c r="F20" s="4">
        <f>SUM('Apr 2027'!AP4:AP34)</f>
        <v/>
      </c>
      <c r="G20" s="4">
        <f>SUM('Apr 2027'!AQ4:AQ34)</f>
        <v/>
      </c>
    </row>
    <row r="21">
      <c r="A21" s="4" t="inlineStr">
        <is>
          <t>May 2027</t>
        </is>
      </c>
      <c r="B21" s="4">
        <f>COUNTA('May 2027'!A4:A34)</f>
        <v/>
      </c>
      <c r="C21" s="4">
        <f>SUM('May 2027'!AR4:AR34)</f>
        <v/>
      </c>
      <c r="D21" s="4">
        <f>IF(B21&gt;0,ROUND(C21/B21,0),0)</f>
        <v/>
      </c>
      <c r="E21" s="4">
        <f>SUM('May 2027'!AM4:AM34)</f>
        <v/>
      </c>
      <c r="F21" s="4">
        <f>SUM('May 2027'!AP4:AP34)</f>
        <v/>
      </c>
      <c r="G21" s="4">
        <f>SUM('May 2027'!AQ4:AQ34)</f>
        <v/>
      </c>
    </row>
    <row r="22">
      <c r="A22" s="4" t="inlineStr">
        <is>
          <t>Jun 2027</t>
        </is>
      </c>
      <c r="B22" s="4">
        <f>COUNTA('Jun 2027'!A4:A34)</f>
        <v/>
      </c>
      <c r="C22" s="4">
        <f>SUM('Jun 2027'!AR4:AR34)</f>
        <v/>
      </c>
      <c r="D22" s="4">
        <f>IF(B22&gt;0,ROUND(C22/B22,0),0)</f>
        <v/>
      </c>
      <c r="E22" s="4">
        <f>SUM('Jun 2027'!AM4:AM34)</f>
        <v/>
      </c>
      <c r="F22" s="4">
        <f>SUM('Jun 2027'!AP4:AP34)</f>
        <v/>
      </c>
      <c r="G22" s="4">
        <f>SUM('Jun 2027'!AQ4:AQ34)</f>
        <v/>
      </c>
    </row>
    <row r="23">
      <c r="A23" s="4" t="inlineStr">
        <is>
          <t>Jul 2027</t>
        </is>
      </c>
      <c r="B23" s="4">
        <f>COUNTA('Jul 2027'!A4:A34)</f>
        <v/>
      </c>
      <c r="C23" s="4">
        <f>SUM('Jul 2027'!AR4:AR34)</f>
        <v/>
      </c>
      <c r="D23" s="4">
        <f>IF(B23&gt;0,ROUND(C23/B23,0),0)</f>
        <v/>
      </c>
      <c r="E23" s="4">
        <f>SUM('Jul 2027'!AM4:AM34)</f>
        <v/>
      </c>
      <c r="F23" s="4">
        <f>SUM('Jul 2027'!AP4:AP34)</f>
        <v/>
      </c>
      <c r="G23" s="4">
        <f>SUM('Jul 2027'!AQ4:AQ34)</f>
        <v/>
      </c>
    </row>
    <row r="24">
      <c r="A24" s="4" t="inlineStr">
        <is>
          <t>Aug 2027</t>
        </is>
      </c>
      <c r="B24" s="4">
        <f>COUNTA('Aug 2027'!A4:A34)</f>
        <v/>
      </c>
      <c r="C24" s="4">
        <f>SUM('Aug 2027'!AR4:AR34)</f>
        <v/>
      </c>
      <c r="D24" s="4">
        <f>IF(B24&gt;0,ROUND(C24/B24,0),0)</f>
        <v/>
      </c>
      <c r="E24" s="4">
        <f>SUM('Aug 2027'!AM4:AM34)</f>
        <v/>
      </c>
      <c r="F24" s="4">
        <f>SUM('Aug 2027'!AP4:AP34)</f>
        <v/>
      </c>
      <c r="G24" s="4">
        <f>SUM('Aug 2027'!AQ4:AQ34)</f>
        <v/>
      </c>
    </row>
    <row r="25">
      <c r="A25" s="4" t="inlineStr">
        <is>
          <t>Sep 2027</t>
        </is>
      </c>
      <c r="B25" s="4">
        <f>COUNTA('Sep 2027'!A4:A34)</f>
        <v/>
      </c>
      <c r="C25" s="4">
        <f>SUM('Sep 2027'!AR4:AR34)</f>
        <v/>
      </c>
      <c r="D25" s="4">
        <f>IF(B25&gt;0,ROUND(C25/B25,0),0)</f>
        <v/>
      </c>
      <c r="E25" s="4">
        <f>SUM('Sep 2027'!AM4:AM34)</f>
        <v/>
      </c>
      <c r="F25" s="4">
        <f>SUM('Sep 2027'!AP4:AP34)</f>
        <v/>
      </c>
      <c r="G25" s="4">
        <f>SUM('Sep 2027'!AQ4:AQ34)</f>
        <v/>
      </c>
    </row>
    <row r="26">
      <c r="A26" s="4" t="inlineStr">
        <is>
          <t>Oct 2027</t>
        </is>
      </c>
      <c r="B26" s="4">
        <f>COUNTA('Oct 2027'!A4:A34)</f>
        <v/>
      </c>
      <c r="C26" s="4">
        <f>SUM('Oct 2027'!AR4:AR34)</f>
        <v/>
      </c>
      <c r="D26" s="4">
        <f>IF(B26&gt;0,ROUND(C26/B26,0),0)</f>
        <v/>
      </c>
      <c r="E26" s="4">
        <f>SUM('Oct 2027'!AM4:AM34)</f>
        <v/>
      </c>
      <c r="F26" s="4">
        <f>SUM('Oct 2027'!AP4:AP34)</f>
        <v/>
      </c>
      <c r="G26" s="4">
        <f>SUM('Oct 2027'!AQ4:AQ34)</f>
        <v/>
      </c>
    </row>
    <row r="27">
      <c r="A27" s="4" t="inlineStr">
        <is>
          <t>Nov 2027</t>
        </is>
      </c>
      <c r="B27" s="4">
        <f>COUNTA('Nov 2027'!A4:A34)</f>
        <v/>
      </c>
      <c r="C27" s="4">
        <f>SUM('Nov 2027'!AR4:AR34)</f>
        <v/>
      </c>
      <c r="D27" s="4">
        <f>IF(B27&gt;0,ROUND(C27/B27,0),0)</f>
        <v/>
      </c>
      <c r="E27" s="4">
        <f>SUM('Nov 2027'!AM4:AM34)</f>
        <v/>
      </c>
      <c r="F27" s="4">
        <f>SUM('Nov 2027'!AP4:AP34)</f>
        <v/>
      </c>
      <c r="G27" s="4">
        <f>SUM('Nov 2027'!AQ4:AQ34)</f>
        <v/>
      </c>
    </row>
    <row r="28">
      <c r="A28" s="4" t="inlineStr">
        <is>
          <t>Dec 2027</t>
        </is>
      </c>
      <c r="B28" s="4">
        <f>COUNTA('Dec 2027'!A4:A34)</f>
        <v/>
      </c>
      <c r="C28" s="4">
        <f>SUM('Dec 2027'!AR4:AR34)</f>
        <v/>
      </c>
      <c r="D28" s="4">
        <f>IF(B28&gt;0,ROUND(C28/B28,0),0)</f>
        <v/>
      </c>
      <c r="E28" s="4">
        <f>SUM('Dec 2027'!AM4:AM34)</f>
        <v/>
      </c>
      <c r="F28" s="4">
        <f>SUM('Dec 2027'!AP4:AP34)</f>
        <v/>
      </c>
      <c r="G28" s="4">
        <f>SUM('Dec 2027'!AQ4:AQ34)</f>
        <v/>
      </c>
    </row>
    <row r="29">
      <c r="A29" s="5" t="inlineStr">
        <is>
          <t>2026 TOTAL</t>
        </is>
      </c>
      <c r="B29" s="5">
        <f>SUM(B5:B16)</f>
        <v/>
      </c>
      <c r="C29" s="5">
        <f>SUM(C5:C16)</f>
        <v/>
      </c>
      <c r="D29" s="5">
        <f>IF(B29&gt;0,ROUND(C29/B29,0),0)</f>
        <v/>
      </c>
      <c r="E29" s="5">
        <f>SUM(E5:E16)</f>
        <v/>
      </c>
      <c r="F29" s="5">
        <f>SUM(F5:F16)</f>
        <v/>
      </c>
      <c r="G29" s="5">
        <f>SUM(G5:G16)</f>
        <v/>
      </c>
    </row>
    <row r="30">
      <c r="A30" s="5" t="inlineStr">
        <is>
          <t>2027 TOTAL</t>
        </is>
      </c>
      <c r="B30" s="5">
        <f>SUM(B17:B28)</f>
        <v/>
      </c>
      <c r="C30" s="5">
        <f>SUM(C17:C28)</f>
        <v/>
      </c>
      <c r="D30" s="5">
        <f>IF(B30&gt;0,ROUND(C30/B30,0),0)</f>
        <v/>
      </c>
      <c r="E30" s="5">
        <f>SUM(E17:E28)</f>
        <v/>
      </c>
      <c r="F30" s="5">
        <f>SUM(F17:F28)</f>
        <v/>
      </c>
      <c r="G30" s="5">
        <f>SUM(G17:G28)</f>
        <v/>
      </c>
    </row>
    <row r="31">
      <c r="A31" s="6" t="inlineStr">
        <is>
          <t>GRAND TOTAL</t>
        </is>
      </c>
      <c r="B31" s="6">
        <f>SUM(B5:B28)</f>
        <v/>
      </c>
      <c r="C31" s="6">
        <f>SUM(C5:C28)</f>
        <v/>
      </c>
      <c r="D31" s="6">
        <f>IF(B31&gt;0,ROUND(C31/B31,0),0)</f>
        <v/>
      </c>
      <c r="E31" s="6">
        <f>SUM(E5:E28)</f>
        <v/>
      </c>
      <c r="F31" s="6">
        <f>SUM(F5:F28)</f>
        <v/>
      </c>
      <c r="G31" s="6">
        <f>SUM(G5:G28)</f>
        <v/>
      </c>
    </row>
    <row r="33">
      <c r="A33" s="2" t="inlineStr">
        <is>
          <t>🏆 Personal Bests</t>
        </is>
      </c>
    </row>
    <row r="34">
      <c r="A34" s="7" t="inlineStr">
        <is>
          <t>Best Day Score</t>
        </is>
      </c>
      <c r="B34" s="8">
        <f>MAX('Jan 2026'!AR4:AR34,'Feb 2026'!AR4:AR34,'Mar 2026'!AR4:AR34,'Apr 2026'!AR4:AR34,'May 2026'!AR4:AR34,'Jun 2026'!AR4:AR34,'Jul 2026'!AR4:AR34,'Aug 2026'!AR4:AR34,'Sep 2026'!AR4:AR34,'Oct 2026'!AR4:AR34,'Nov 2026'!AR4:AR34,'Dec 2026'!AR4:AR34,'Jan 2027'!AR4:AR34,'Feb 2027'!AR4:AR34,'Mar 2027'!AR4:AR34,'Apr 2027'!AR4:AR34,'May 2027'!AR4:AR34,'Jun 2027'!AR4:AR34,'Jul 2027'!AR4:AR34,'Aug 2027'!AR4:AR34,'Sep 2027'!AR4:AR34,'Oct 2027'!AR4:AR34,'Nov 2027'!AR4:AR34,'Dec 2027'!AR4:AR34)</f>
        <v/>
      </c>
    </row>
    <row r="35">
      <c r="A35" s="7" t="inlineStr">
        <is>
          <t>Best Prayer Day</t>
        </is>
      </c>
      <c r="B35" s="8">
        <f>MAX('Jan 2026'!AM4:AM34,'Feb 2026'!AM4:AM34,'Mar 2026'!AM4:AM34,'Apr 2026'!AM4:AM34,'May 2026'!AM4:AM34,'Jun 2026'!AM4:AM34,'Jul 2026'!AM4:AM34,'Aug 2026'!AM4:AM34,'Sep 2026'!AM4:AM34,'Oct 2026'!AM4:AM34,'Nov 2026'!AM4:AM34,'Dec 2026'!AM4:AM34,'Jan 2027'!AM4:AM34,'Feb 2027'!AM4:AM34,'Mar 2027'!AM4:AM34,'Apr 2027'!AM4:AM34,'May 2027'!AM4:AM34,'Jun 2027'!AM4:AM34,'Jul 2027'!AM4:AM34,'Aug 2027'!AM4:AM34,'Sep 2027'!AM4:AM34,'Oct 2027'!AM4:AM34,'Nov 2027'!AM4:AM34,'Dec 2027'!AM4:AM34)</f>
        <v/>
      </c>
    </row>
    <row r="36">
      <c r="A36" s="7" t="inlineStr">
        <is>
          <t>Best Family Day</t>
        </is>
      </c>
      <c r="B36" s="8">
        <f>MAX('Jan 2026'!AP4:AP34,'Feb 2026'!AP4:AP34,'Mar 2026'!AP4:AP34,'Apr 2026'!AP4:AP34,'May 2026'!AP4:AP34,'Jun 2026'!AP4:AP34,'Jul 2026'!AP4:AP34,'Aug 2026'!AP4:AP34,'Sep 2026'!AP4:AP34,'Oct 2026'!AP4:AP34,'Nov 2026'!AP4:AP34,'Dec 2026'!AP4:AP34,'Jan 2027'!AP4:AP34,'Feb 2027'!AP4:AP34,'Mar 2027'!AP4:AP34,'Apr 2027'!AP4:AP34,'May 2027'!AP4:AP34,'Jun 2027'!AP4:AP34,'Jul 2027'!AP4:AP34,'Aug 2027'!AP4:AP34,'Sep 2027'!AP4:AP34,'Oct 2027'!AP4:AP34,'Nov 2027'!AP4:AP34,'Dec 2027'!AP4:AP34)</f>
        <v/>
      </c>
    </row>
    <row r="38">
      <c r="A38" s="2" t="inlineStr">
        <is>
          <t>⚙️ Scoring Weights Reference</t>
        </is>
      </c>
    </row>
    <row r="40">
      <c r="A40" s="9" t="inlineStr">
        <is>
          <t>Family Check-in Weights:</t>
        </is>
      </c>
    </row>
    <row r="41">
      <c r="A41" s="7" t="inlineStr">
        <is>
          <t>👩 Mom</t>
        </is>
      </c>
      <c r="B41" s="7" t="inlineStr">
        <is>
          <t>5 pts</t>
        </is>
      </c>
    </row>
    <row r="42">
      <c r="A42" s="7" t="inlineStr">
        <is>
          <t>👨 Dad</t>
        </is>
      </c>
      <c r="B42" s="7" t="inlineStr">
        <is>
          <t>5 pts</t>
        </is>
      </c>
    </row>
    <row r="43">
      <c r="A43" s="7" t="inlineStr">
        <is>
          <t>👧 Jana</t>
        </is>
      </c>
      <c r="B43" s="7" t="inlineStr">
        <is>
          <t>5 pts</t>
        </is>
      </c>
    </row>
    <row r="44">
      <c r="A44" s="7" t="inlineStr">
        <is>
          <t>👶 Tia</t>
        </is>
      </c>
      <c r="B44" s="7" t="inlineStr">
        <is>
          <t>5 pts</t>
        </is>
      </c>
    </row>
    <row r="45">
      <c r="A45" s="7" t="inlineStr">
        <is>
          <t>👦 Ahmed</t>
        </is>
      </c>
      <c r="B45" s="7" t="inlineStr">
        <is>
          <t>5 pts</t>
        </is>
      </c>
    </row>
    <row r="46">
      <c r="A46" s="7" t="inlineStr">
        <is>
          <t>👩‍🦱 Eman</t>
        </is>
      </c>
      <c r="B46" s="7" t="inlineStr">
        <is>
          <t>5 pts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Thu</t>
        </is>
      </c>
      <c r="C4" s="4" t="n">
        <v>1</v>
      </c>
      <c r="D4" s="4" t="n">
        <v>1</v>
      </c>
      <c r="E4" s="4" t="n">
        <v>1</v>
      </c>
      <c r="F4" s="4" t="n">
        <v>0.1</v>
      </c>
      <c r="G4" s="4" t="n">
        <v>0.1</v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Fri</t>
        </is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>
        <v>1</v>
      </c>
      <c r="AB5" s="4" t="n">
        <v>1</v>
      </c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Sat</t>
        </is>
      </c>
      <c r="C6" s="4" t="n">
        <v>1.1</v>
      </c>
      <c r="D6" s="4" t="n">
        <v>1</v>
      </c>
      <c r="E6" s="4" t="n">
        <v>1</v>
      </c>
      <c r="F6" s="4" t="n">
        <v>0.1</v>
      </c>
      <c r="G6" s="4" t="n">
        <v>1</v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>
        <v>1</v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Sun</t>
        </is>
      </c>
      <c r="C7" s="4" t="n">
        <v>1.2</v>
      </c>
      <c r="D7" s="4" t="n">
        <v>0.1</v>
      </c>
      <c r="E7" s="4" t="n">
        <v>1</v>
      </c>
      <c r="F7" s="4" t="n">
        <v>1</v>
      </c>
      <c r="G7" s="4" t="n">
        <v>1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1</v>
      </c>
      <c r="AB7" s="4" t="n">
        <v>1</v>
      </c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Mon</t>
        </is>
      </c>
      <c r="C8" s="4" t="n">
        <v>1</v>
      </c>
      <c r="D8" s="4" t="n">
        <v>0.1</v>
      </c>
      <c r="E8" s="4" t="n">
        <v>0.1</v>
      </c>
      <c r="F8" s="4" t="n">
        <v>0.1</v>
      </c>
      <c r="G8" s="4" t="n">
        <v>1</v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>
        <v>1</v>
      </c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Tue</t>
        </is>
      </c>
      <c r="C9" s="4" t="n">
        <v>1</v>
      </c>
      <c r="D9" s="4" t="n">
        <v>0.1</v>
      </c>
      <c r="E9" s="4" t="n">
        <v>0.1</v>
      </c>
      <c r="F9" s="4" t="n">
        <v>0.1</v>
      </c>
      <c r="G9" s="4" t="n">
        <v>0.1</v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1</v>
      </c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Wed</t>
        </is>
      </c>
      <c r="C10" s="4" t="n">
        <v>1</v>
      </c>
      <c r="D10" s="4" t="n">
        <v>0.1</v>
      </c>
      <c r="E10" s="4" t="n">
        <v>1</v>
      </c>
      <c r="F10" s="4" t="n">
        <v>1</v>
      </c>
      <c r="G10" s="4" t="n">
        <v>0.1</v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>
        <v>1</v>
      </c>
      <c r="AB10" s="4" t="n">
        <v>1</v>
      </c>
      <c r="AC10" s="4" t="n">
        <v>1</v>
      </c>
      <c r="AD10" s="4" t="n">
        <v>1</v>
      </c>
      <c r="AE10" s="4" t="n">
        <v>1</v>
      </c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Thu</t>
        </is>
      </c>
      <c r="C11" s="4" t="n">
        <v>0.1</v>
      </c>
      <c r="D11" s="4" t="n">
        <v>1</v>
      </c>
      <c r="E11" s="4" t="n">
        <v>1</v>
      </c>
      <c r="F11" s="4" t="n">
        <v>0.1</v>
      </c>
      <c r="G11" s="4" t="n">
        <v>0.1</v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>
        <v>1</v>
      </c>
      <c r="AB11" s="4" t="n"/>
      <c r="AC11" s="4" t="n"/>
      <c r="AD11" s="4" t="n"/>
      <c r="AE11" s="4" t="n">
        <v>1</v>
      </c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Fri</t>
        </is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>
        <v>1</v>
      </c>
      <c r="AB12" s="4" t="n"/>
      <c r="AC12" s="4" t="n"/>
      <c r="AD12" s="4" t="n"/>
      <c r="AE12" s="4" t="n">
        <v>1</v>
      </c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Sat</t>
        </is>
      </c>
      <c r="C13" s="4" t="n">
        <v>0.1</v>
      </c>
      <c r="D13" s="4" t="n">
        <v>1</v>
      </c>
      <c r="E13" s="4" t="n">
        <v>1</v>
      </c>
      <c r="F13" s="4" t="n">
        <v>1</v>
      </c>
      <c r="G13" s="4" t="n">
        <v>1</v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>
        <v>1</v>
      </c>
      <c r="AB13" s="4" t="n"/>
      <c r="AC13" s="4" t="n"/>
      <c r="AD13" s="4" t="n"/>
      <c r="AE13" s="4" t="n">
        <v>1</v>
      </c>
      <c r="AF13" s="4" t="n">
        <v>1</v>
      </c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Sun</t>
        </is>
      </c>
      <c r="C14" s="4" t="n">
        <v>1</v>
      </c>
      <c r="D14" s="4" t="n">
        <v>0.1</v>
      </c>
      <c r="E14" s="4" t="n">
        <v>0.1</v>
      </c>
      <c r="F14" s="4" t="n">
        <v>1</v>
      </c>
      <c r="G14" s="4" t="n">
        <v>0.1</v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>
        <v>1</v>
      </c>
      <c r="AB14" s="4" t="n">
        <v>1</v>
      </c>
      <c r="AC14" s="4" t="n"/>
      <c r="AD14" s="4" t="n"/>
      <c r="AE14" s="4" t="n">
        <v>1</v>
      </c>
      <c r="AF14" s="4" t="n">
        <v>1</v>
      </c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Mon</t>
        </is>
      </c>
      <c r="C15" s="4" t="n">
        <v>0.1</v>
      </c>
      <c r="D15" s="4" t="n"/>
      <c r="E15" s="4" t="n">
        <v>0.1</v>
      </c>
      <c r="F15" s="4" t="n">
        <v>0.1</v>
      </c>
      <c r="G15" s="4" t="n">
        <v>1</v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>
        <v>1</v>
      </c>
      <c r="AC15" s="4" t="n"/>
      <c r="AD15" s="4" t="n"/>
      <c r="AE15" s="4" t="n">
        <v>1</v>
      </c>
      <c r="AF15" s="4" t="n">
        <v>1</v>
      </c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Tue</t>
        </is>
      </c>
      <c r="C16" s="4" t="n">
        <v>0.1</v>
      </c>
      <c r="D16" s="4" t="n"/>
      <c r="E16" s="4" t="n"/>
      <c r="F16" s="4" t="n">
        <v>0.1</v>
      </c>
      <c r="G16" s="4" t="n">
        <v>0.1</v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>
        <v>1</v>
      </c>
      <c r="AB16" s="4" t="n">
        <v>1</v>
      </c>
      <c r="AC16" s="4" t="n">
        <v>1</v>
      </c>
      <c r="AD16" s="4" t="n"/>
      <c r="AE16" s="4" t="n">
        <v>1</v>
      </c>
      <c r="AF16" s="4" t="n">
        <v>1</v>
      </c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Wed</t>
        </is>
      </c>
      <c r="C17" s="4" t="n">
        <v>1</v>
      </c>
      <c r="D17" s="4" t="n">
        <v>0.1</v>
      </c>
      <c r="E17" s="4" t="n">
        <v>0.1</v>
      </c>
      <c r="F17" s="4" t="n">
        <v>0.1</v>
      </c>
      <c r="G17" s="4" t="n">
        <v>0.1</v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>
        <v>1</v>
      </c>
      <c r="AB17" s="4" t="n">
        <v>1</v>
      </c>
      <c r="AC17" s="4" t="n"/>
      <c r="AD17" s="4" t="n">
        <v>1</v>
      </c>
      <c r="AE17" s="4" t="n">
        <v>1</v>
      </c>
      <c r="AF17" s="4" t="n">
        <v>1</v>
      </c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Thu</t>
        </is>
      </c>
      <c r="C18" s="4" t="n">
        <v>1</v>
      </c>
      <c r="D18" s="4" t="n"/>
      <c r="E18" s="4" t="n"/>
      <c r="F18" s="4" t="n">
        <v>0.1</v>
      </c>
      <c r="G18" s="4" t="n">
        <v>0.1</v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1</v>
      </c>
      <c r="AB18" s="4" t="n">
        <v>1</v>
      </c>
      <c r="AC18" s="4" t="n"/>
      <c r="AD18" s="4" t="n"/>
      <c r="AE18" s="4" t="n">
        <v>1</v>
      </c>
      <c r="AF18" s="4" t="n">
        <v>1</v>
      </c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Fri</t>
        </is>
      </c>
      <c r="C19" s="4" t="n">
        <v>1</v>
      </c>
      <c r="D19" s="4" t="n"/>
      <c r="E19" s="4" t="n"/>
      <c r="F19" s="4" t="n"/>
      <c r="G19" s="4" t="n">
        <v>0.1</v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>
        <v>1</v>
      </c>
      <c r="AB19" s="4" t="n">
        <v>1</v>
      </c>
      <c r="AC19" s="4" t="n"/>
      <c r="AD19" s="4" t="n">
        <v>1</v>
      </c>
      <c r="AE19" s="4" t="n">
        <v>1</v>
      </c>
      <c r="AF19" s="4" t="n">
        <v>1</v>
      </c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Sat</t>
        </is>
      </c>
      <c r="C20" s="4" t="n">
        <v>1</v>
      </c>
      <c r="D20" s="4" t="n">
        <v>1</v>
      </c>
      <c r="E20" s="4" t="n">
        <v>1</v>
      </c>
      <c r="F20" s="4" t="n">
        <v>0.1</v>
      </c>
      <c r="G20" s="4" t="n">
        <v>0.1</v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>
        <v>1</v>
      </c>
      <c r="AB20" s="4" t="n">
        <v>1</v>
      </c>
      <c r="AC20" s="4" t="n"/>
      <c r="AD20" s="4" t="n">
        <v>1</v>
      </c>
      <c r="AE20" s="4" t="n">
        <v>1</v>
      </c>
      <c r="AF20" s="4" t="n">
        <v>1</v>
      </c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Sun</t>
        </is>
      </c>
      <c r="C21" s="4" t="n">
        <v>1</v>
      </c>
      <c r="D21" s="4" t="n">
        <v>1</v>
      </c>
      <c r="E21" s="4" t="n">
        <v>0.1</v>
      </c>
      <c r="F21" s="4" t="n">
        <v>1</v>
      </c>
      <c r="G21" s="4" t="n">
        <v>0.1</v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1</v>
      </c>
      <c r="AB21" s="4" t="n">
        <v>1</v>
      </c>
      <c r="AC21" s="4" t="n"/>
      <c r="AD21" s="4" t="n"/>
      <c r="AE21" s="4" t="n">
        <v>1</v>
      </c>
      <c r="AF21" s="4" t="n">
        <v>1</v>
      </c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Mon</t>
        </is>
      </c>
      <c r="C22" s="4" t="n">
        <v>1</v>
      </c>
      <c r="D22" s="4" t="n"/>
      <c r="E22" s="4" t="n"/>
      <c r="F22" s="4" t="n">
        <v>1</v>
      </c>
      <c r="G22" s="4" t="n">
        <v>0.1</v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>
        <v>1</v>
      </c>
      <c r="AB22" s="4" t="n"/>
      <c r="AC22" s="4" t="n"/>
      <c r="AD22" s="4" t="n"/>
      <c r="AE22" s="4" t="n">
        <v>1</v>
      </c>
      <c r="AF22" s="4" t="n">
        <v>1</v>
      </c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Tue</t>
        </is>
      </c>
      <c r="C23" s="4" t="n">
        <v>1</v>
      </c>
      <c r="D23" s="4" t="n"/>
      <c r="E23" s="4" t="n"/>
      <c r="F23" s="4" t="n"/>
      <c r="G23" s="4" t="n">
        <v>0.1</v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>
        <v>1</v>
      </c>
      <c r="AB23" s="4" t="n">
        <v>1</v>
      </c>
      <c r="AC23" s="4" t="n"/>
      <c r="AD23" s="4" t="n">
        <v>1</v>
      </c>
      <c r="AE23" s="4" t="n">
        <v>1</v>
      </c>
      <c r="AF23" s="4" t="n">
        <v>1</v>
      </c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Wed</t>
        </is>
      </c>
      <c r="C24" s="4" t="n">
        <v>0.1</v>
      </c>
      <c r="D24" s="4" t="n"/>
      <c r="E24" s="4" t="n"/>
      <c r="F24" s="4" t="n"/>
      <c r="G24" s="4" t="n">
        <v>0.1</v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>
        <v>1</v>
      </c>
      <c r="AB24" s="4" t="n">
        <v>1</v>
      </c>
      <c r="AC24" s="4" t="n"/>
      <c r="AD24" s="4" t="n">
        <v>1</v>
      </c>
      <c r="AE24" s="4" t="n">
        <v>1</v>
      </c>
      <c r="AF24" s="4" t="n">
        <v>1</v>
      </c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Thu</t>
        </is>
      </c>
      <c r="C25" s="4" t="n">
        <v>1</v>
      </c>
      <c r="D25" s="4" t="n"/>
      <c r="E25" s="4" t="n"/>
      <c r="F25" s="4" t="n"/>
      <c r="G25" s="4" t="n">
        <v>0.1</v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>
        <v>1</v>
      </c>
      <c r="AB25" s="4" t="n">
        <v>1</v>
      </c>
      <c r="AC25" s="4" t="n">
        <v>1</v>
      </c>
      <c r="AD25" s="4" t="n">
        <v>1</v>
      </c>
      <c r="AE25" s="4" t="n">
        <v>1</v>
      </c>
      <c r="AF25" s="4" t="n">
        <v>1</v>
      </c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Fri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Sat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Sun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Mon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Tue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Wed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Thu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Fri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Sat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Sun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Mon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Wed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Thu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Fri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Sat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Sun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Mon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Tue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Wed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Thu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Fri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Sat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Sun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Mon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Tue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Wed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Thu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Fri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Sat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Sun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Mon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Tue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Wed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Thu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Fri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Sat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Sun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Mon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Wed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Thu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Fri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Sat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Sun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Mon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Tue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Wed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Thu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Fri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Sat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Sun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Mon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Tue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Wed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Thu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Fri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Sat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Sun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Mon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Tue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Wed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Thu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Fri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Sat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Sun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Mon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Tue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Wed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Thu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Fri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Sat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Sun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Mon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Tue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Wed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Thu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Fri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Sat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Sun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Mon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Tue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Wed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Thu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Fri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Sat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Sun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Mon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Tue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Wed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Thu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Fri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Sat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Sun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Mon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Tue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Wed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Thu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Fri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Sat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Sun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Mon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Tue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Wed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Thu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Fri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Sat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Sun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Mon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Tue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Wed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Thu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Fri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Sat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Sun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Mon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Tue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Wed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Thu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Fri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Sat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Sun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Mon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Tue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Wed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Thu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Fri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Sat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Sun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Mon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Tue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Wed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Thu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Fri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Sat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Sun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Mon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Tue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Wed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Thu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Fri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Sat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Sun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Mon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Tue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Wed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Thu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Fri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Sat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Sun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Mon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Tue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Wed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Thu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Fri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Sat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Sun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Mon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Tue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Wed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Thu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Fri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Sat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Sun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Mon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Tue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Wed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Thu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Fri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Sat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Sun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Mon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Tue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Wed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Thu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Fri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Sat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Sun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Mon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Tue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Wed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Thu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Fri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Sat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Sun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Mon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Tue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Wed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Thu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Fri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Sat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Sun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Mon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Tue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Wed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Thu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Fri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Sat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Sun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Mon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Tue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Wed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Thu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Fri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Sat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Sun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Mon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Tue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Wed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Thu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Fri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Sat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Sun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Mon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Tue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Wed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Thu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Fri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Sat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Sun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Mon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Tue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Wed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Thu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Fri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Sat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Sun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Mon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Tue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Wed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Thu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Fri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Sat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Sun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Mon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Tue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Wed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Thu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Fri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Sat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Sun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Mon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Tue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Wed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Thu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Fri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Sat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Sun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Mon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Tue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Wed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Thu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Fri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Sat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Sun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Mon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Tue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Wed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Thu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Fri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Sat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Sun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Mon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Tue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Wed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Thu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Fri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Sat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Sun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Mon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Tue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Wed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Thu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Fri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Sat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Sun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Mon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Tue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Wed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Thu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Fri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Sat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Sun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Mon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Wed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Thu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Fri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Sat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Sun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Mon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Tue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Wed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Thu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Fri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Sat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Sun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Mon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Tue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Wed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Thu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Fri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Sat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Sun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Mon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Tue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Wed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Thu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Fri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Sat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Sun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Mon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Tue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Wed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Thu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Fri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Sat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Sun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Mon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Tue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Wed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Thu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Fri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Sat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Sun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Mon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Tue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Wed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Thu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Fri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Sat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Sun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Mon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Tue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Wed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Thu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Fri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Sat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Sun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Mon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Tue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Wed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Thu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Fri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Sat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Sun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Mon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Tue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Wed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Thu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Fri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Sat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Sun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Mon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Tue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Wed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Thu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Fri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Sat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Sun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Mon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Tue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Wed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Thu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Fri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Sat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Sun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Mon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Tue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Wed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Thu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Fri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Sat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Sun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Mon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Tue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Wed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Thu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Fri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Sat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Sun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Mon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Tue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Wed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Thu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Fri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Sat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Sun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Mon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Tue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Wed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Thu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Fri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Sat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Sun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Mon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Tue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Wed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Thu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Fri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Sat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Sun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Mon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Tue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Wed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Thu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Fri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Sat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Sun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Mon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Tue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Wed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Thu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Fri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Sat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Sun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Mon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Tue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Wed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Thu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Fri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Sat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Sun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Mon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Tue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Wed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Thu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Fri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Sat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Sun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Mon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Tue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Wed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Thu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Fri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Sat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Sun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Mon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Tue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Wed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Thu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Fri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Sat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Sun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Mon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Tue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Wed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Thu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Fri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Sat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Sun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Mon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Tue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Wed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Thu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Fri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Sat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Sun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Mon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Tue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Wed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Thu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Fri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Sat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Sun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Mon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Tue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Wed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Thu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Fri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Sat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Sun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Mon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Tue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Wed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Thu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Fri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Sat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Sun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Mon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Tue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Wed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Thu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Fri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Sat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Sun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Mon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Tue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Wed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Thu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Fri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Sat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Sun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Mon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Tue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Wed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Thu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Fri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Sat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Sun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Mon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Tue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Wed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Thu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Fri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Sat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Sun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Mon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Tue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Wed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Thu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Fri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Sat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Sun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Mon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Tue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Wed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Thu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Fri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Sat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Sun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Mon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Tue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Wed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Thu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Fri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Sat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Sun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Mon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Tue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Wed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Thu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Fri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Sat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Sun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Mon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Tue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Wed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Thu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Fri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Sat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Sun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Mon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Tue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Wed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Thu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Fri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Sat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Sun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Mon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Tue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Wed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Thu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Fri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Sat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Sun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Mon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Tue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Wed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Thu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Fri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Sat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Sun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Mon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Tue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Wed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Thu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Fri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Sat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Sun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Mon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Tue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Wed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Thu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Fri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Sat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Sun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Mon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Tue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Wed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Thu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Fri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Sat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Sun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Mon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Tue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Wed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Thu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Fri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Sat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Sun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Mon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Tue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Wed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Thu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Fri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Sat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Sun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Mon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Tue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Wed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Thu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Fri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Sat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Sun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Mon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Tue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Wed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Thu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Fri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Sat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Sun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Mon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Tue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Wed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Thu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Fri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Sat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Sun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Mon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Tue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Wed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Thu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Fri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Sat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Sun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Mon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Tue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Wed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Thu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Fri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Sat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Sun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Mon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Tue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Wed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Thu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Fri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Sat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Sun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Mon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Tue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Wed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Thu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Fri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Sat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Sun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Mon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Tue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Wed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Thu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Fri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Sat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Sun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Mon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Tue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Wed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Thu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Fri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Sat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Sun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Mon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Tue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Wed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Thu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Fri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Sat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Sun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Mon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Tue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Wed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Thu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Fri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Sat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Sun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Mon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Tue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0" t="inlineStr">
        <is>
          <t>Info</t>
        </is>
      </c>
      <c r="B1" s="17" t="n"/>
      <c r="C1" s="3" t="inlineStr">
        <is>
          <t>🕌 Prayers</t>
        </is>
      </c>
      <c r="D1" s="18" t="n"/>
      <c r="E1" s="18" t="n"/>
      <c r="F1" s="18" t="n"/>
      <c r="G1" s="18" t="n"/>
      <c r="H1" s="17" t="n"/>
      <c r="I1" s="11" t="inlineStr">
        <is>
          <t>💉 Glucose</t>
        </is>
      </c>
      <c r="J1" s="18" t="n"/>
      <c r="K1" s="18" t="n"/>
      <c r="L1" s="18" t="n"/>
      <c r="M1" s="18" t="n"/>
      <c r="N1" s="17" t="n"/>
      <c r="O1" s="12" t="inlineStr">
        <is>
          <t>⏱️ Whoop Age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7" t="n"/>
      <c r="AA1" s="13" t="inlineStr">
        <is>
          <t>👨‍👩‍👧‍👦 Family</t>
        </is>
      </c>
      <c r="AB1" s="18" t="n"/>
      <c r="AC1" s="18" t="n"/>
      <c r="AD1" s="18" t="n"/>
      <c r="AE1" s="18" t="n"/>
      <c r="AF1" s="17" t="n"/>
      <c r="AG1" s="10" t="inlineStr">
        <is>
          <t>✨ Habits</t>
        </is>
      </c>
      <c r="AH1" s="18" t="n"/>
      <c r="AI1" s="18" t="n"/>
      <c r="AJ1" s="18" t="n"/>
      <c r="AK1" s="18" t="n"/>
      <c r="AL1" s="17" t="n"/>
      <c r="AM1" s="14" t="inlineStr">
        <is>
          <t>📊 Scores</t>
        </is>
      </c>
      <c r="AN1" s="18" t="n"/>
      <c r="AO1" s="18" t="n"/>
      <c r="AP1" s="18" t="n"/>
      <c r="AQ1" s="18" t="n"/>
      <c r="AR1" s="17" t="n"/>
    </row>
    <row r="2">
      <c r="A2" s="15" t="inlineStr">
        <is>
          <t>Day</t>
        </is>
      </c>
      <c r="B2" s="15" t="inlineStr">
        <is>
          <t>Date</t>
        </is>
      </c>
      <c r="C2" s="3" t="inlineStr">
        <is>
          <t>Fajr</t>
        </is>
      </c>
      <c r="D2" s="3" t="inlineStr">
        <is>
          <t>Dhuhr</t>
        </is>
      </c>
      <c r="E2" s="3" t="inlineStr">
        <is>
          <t>Asr</t>
        </is>
      </c>
      <c r="F2" s="3" t="inlineStr">
        <is>
          <t>Maghrib</t>
        </is>
      </c>
      <c r="G2" s="3" t="inlineStr">
        <is>
          <t>Isha</t>
        </is>
      </c>
      <c r="H2" s="3" t="inlineStr">
        <is>
          <t>📖 Quran</t>
        </is>
      </c>
      <c r="I2" s="11" t="inlineStr">
        <is>
          <t>Avg</t>
        </is>
      </c>
      <c r="J2" s="11" t="inlineStr">
        <is>
          <t>TIR%</t>
        </is>
      </c>
      <c r="K2" s="11" t="inlineStr">
        <is>
          <t>CV%</t>
        </is>
      </c>
      <c r="L2" s="11" t="inlineStr">
        <is>
          <t>Hypos</t>
        </is>
      </c>
      <c r="M2" s="11" t="inlineStr">
        <is>
          <t>Insulin</t>
        </is>
      </c>
      <c r="N2" s="11" t="inlineStr">
        <is>
          <t>NoP</t>
        </is>
      </c>
      <c r="O2" s="12" t="inlineStr">
        <is>
          <t>Sleep</t>
        </is>
      </c>
      <c r="P2" s="12" t="inlineStr">
        <is>
          <t>Consist</t>
        </is>
      </c>
      <c r="Q2" s="12" t="inlineStr">
        <is>
          <t>RHR</t>
        </is>
      </c>
      <c r="R2" s="12" t="inlineStr">
        <is>
          <t>HRV</t>
        </is>
      </c>
      <c r="S2" s="12" t="inlineStr">
        <is>
          <t>VO2</t>
        </is>
      </c>
      <c r="T2" s="12" t="inlineStr">
        <is>
          <t>Steps</t>
        </is>
      </c>
      <c r="U2" s="12" t="inlineStr">
        <is>
          <t>Zone1-3</t>
        </is>
      </c>
      <c r="V2" s="12" t="inlineStr">
        <is>
          <t>Zone4-5</t>
        </is>
      </c>
      <c r="W2" s="12" t="inlineStr">
        <is>
          <t>Strength</t>
        </is>
      </c>
      <c r="X2" s="12" t="inlineStr">
        <is>
          <t>Recovery</t>
        </is>
      </c>
      <c r="Y2" s="12" t="inlineStr">
        <is>
          <t>Strain</t>
        </is>
      </c>
      <c r="Z2" s="12" t="inlineStr">
        <is>
          <t>Age</t>
        </is>
      </c>
      <c r="AA2" s="13" t="inlineStr">
        <is>
          <t>👩 Mom</t>
        </is>
      </c>
      <c r="AB2" s="13" t="inlineStr">
        <is>
          <t>👨 Dad</t>
        </is>
      </c>
      <c r="AC2" s="13" t="inlineStr">
        <is>
          <t>👧 Jana</t>
        </is>
      </c>
      <c r="AD2" s="13" t="inlineStr">
        <is>
          <t>👶 Tia</t>
        </is>
      </c>
      <c r="AE2" s="13" t="inlineStr">
        <is>
          <t>👦 Ahmed</t>
        </is>
      </c>
      <c r="AF2" s="13" t="inlineStr">
        <is>
          <t>👩‍🦱 Eman</t>
        </is>
      </c>
      <c r="AG2" s="10" t="inlineStr">
        <is>
          <t>🏋️</t>
        </is>
      </c>
      <c r="AH2" s="10" t="inlineStr">
        <is>
          <t>📚</t>
        </is>
      </c>
      <c r="AI2" s="10" t="inlineStr">
        <is>
          <t>🧘</t>
        </is>
      </c>
      <c r="AJ2" s="10" t="inlineStr">
        <is>
          <t>💧</t>
        </is>
      </c>
      <c r="AK2" s="10" t="inlineStr">
        <is>
          <t>💊</t>
        </is>
      </c>
      <c r="AL2" s="10" t="inlineStr">
        <is>
          <t>🦷</t>
        </is>
      </c>
      <c r="AM2" s="14" t="inlineStr">
        <is>
          <t>Prayer</t>
        </is>
      </c>
      <c r="AN2" s="14" t="inlineStr">
        <is>
          <t>Health</t>
        </is>
      </c>
      <c r="AO2" s="14" t="inlineStr">
        <is>
          <t>Whoop</t>
        </is>
      </c>
      <c r="AP2" s="14" t="inlineStr">
        <is>
          <t>Family</t>
        </is>
      </c>
      <c r="AQ2" s="14" t="inlineStr">
        <is>
          <t>Habit</t>
        </is>
      </c>
      <c r="AR2" s="14" t="inlineStr">
        <is>
          <t>TOTAL</t>
        </is>
      </c>
    </row>
    <row r="3">
      <c r="AA3" s="16" t="inlineStr">
        <is>
          <t>(5 pts)</t>
        </is>
      </c>
      <c r="AB3" s="16" t="inlineStr">
        <is>
          <t>(5 pts)</t>
        </is>
      </c>
      <c r="AC3" s="16" t="inlineStr">
        <is>
          <t>(5 pts)</t>
        </is>
      </c>
      <c r="AD3" s="16" t="inlineStr">
        <is>
          <t>(5 pts)</t>
        </is>
      </c>
      <c r="AE3" s="16" t="inlineStr">
        <is>
          <t>(5 pts)</t>
        </is>
      </c>
      <c r="AF3" s="16" t="inlineStr">
        <is>
          <t>(5 pts)</t>
        </is>
      </c>
    </row>
    <row r="4">
      <c r="A4" s="4" t="n">
        <v>1</v>
      </c>
      <c r="B4" s="4" t="inlineStr">
        <is>
          <t>Wed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>
        <f>SUMPRODUCT((TRUNC(C4:G4))*10)+SUMPRODUCT(ROUND((C4:G4-TRUNC(C4:G4))*10,0)*5)+IF(H4="",0,H4*10)</f>
        <v/>
      </c>
      <c r="AN4" s="4">
        <f>IF(AND(I4&gt;=70,I4&lt;=140),20,IF(AND(I4&gt;140,I4&lt;=180),10,0))+IF(J4&gt;=70,15,IF(J4&gt;=50,8,0))+IF(AND(K4&gt;0,K4&lt;=30),10,IF(AND(K4&gt;30,K4&lt;=50),5,0))+IF(L4=0,10,0)+IF(M4&gt;0,5,0)+IF(N4&lt;&gt;"",N4*2,0)</f>
        <v/>
      </c>
      <c r="AO4" s="4">
        <f>IF(AND(O4&gt;=7,O4&lt;=8),15,IF(AND(O4&gt;=6,O4&lt;7),8,IF(O4&gt;8,10,0)))+IF(P4&gt;=80,10,IF(P4&gt;=70,6,IF(P4&gt;=60,3,0)))+IF(Q4&lt;=60,15,IF(Q4&lt;=70,10,IF(Q4&lt;=80,5,0)))+IF(R4&gt;=50,10,IF(R4&gt;=40,6,IF(R4&gt;=30,3,0)))+IF(S4&gt;=45,15,IF(S4&gt;=40,12,IF(S4&gt;=35,8,IF(S4&gt;=30,4,0))))+IF(T4&gt;=10000,10,IF(T4&gt;=8000,7,IF(T4&gt;=6000,4,0)))+IF(U4&lt;&gt;"",U4*5,0)+IF(V4&lt;&gt;"",V4*10,0)+IF(W4&lt;&gt;"",W4*8,0)+IF(X4&gt;=66,10,IF(X4&gt;=50,6,IF(X4&gt;=33,3,0)))</f>
        <v/>
      </c>
      <c r="AP4" s="4">
        <f>IF(AA4=1,5,0)+IF(AB4=1,5,0)+IF(AC4=1,5,0)+IF(AD4=1,5,0)+IF(AE4=1,5,0)+IF(AF4=1,5,0)</f>
        <v/>
      </c>
      <c r="AQ4" s="4">
        <f>IF(AG4&lt;&gt;"",AG4*8,0)+IF(AH4&lt;&gt;"",AH4*5,0)+IF(AI4&lt;&gt;"",AI4*10,0)+IF(AJ4&lt;&gt;"",AJ4*3,0)+IF(AK4=1,5,0)+IF(AL4&lt;&gt;"",AL4*5,0)</f>
        <v/>
      </c>
      <c r="AR4" s="4">
        <f>AM4+AN4+AO4+AP4+AQ4</f>
        <v/>
      </c>
    </row>
    <row r="5">
      <c r="A5" s="4" t="n">
        <v>2</v>
      </c>
      <c r="B5" s="4" t="inlineStr">
        <is>
          <t>Thu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>
        <f>SUMPRODUCT((TRUNC(C5:G5))*10)+SUMPRODUCT(ROUND((C5:G5-TRUNC(C5:G5))*10,0)*5)+IF(H5="",0,H5*10)</f>
        <v/>
      </c>
      <c r="AN5" s="4">
        <f>IF(AND(I5&gt;=70,I5&lt;=140),20,IF(AND(I5&gt;140,I5&lt;=180),10,0))+IF(J5&gt;=70,15,IF(J5&gt;=50,8,0))+IF(AND(K5&gt;0,K5&lt;=30),10,IF(AND(K5&gt;30,K5&lt;=50),5,0))+IF(L5=0,10,0)+IF(M5&gt;0,5,0)+IF(N5&lt;&gt;"",N5*2,0)</f>
        <v/>
      </c>
      <c r="AO5" s="4">
        <f>IF(AND(O5&gt;=7,O5&lt;=8),15,IF(AND(O5&gt;=6,O5&lt;7),8,IF(O5&gt;8,10,0)))+IF(P5&gt;=80,10,IF(P5&gt;=70,6,IF(P5&gt;=60,3,0)))+IF(Q5&lt;=60,15,IF(Q5&lt;=70,10,IF(Q5&lt;=80,5,0)))+IF(R5&gt;=50,10,IF(R5&gt;=40,6,IF(R5&gt;=30,3,0)))+IF(S5&gt;=45,15,IF(S5&gt;=40,12,IF(S5&gt;=35,8,IF(S5&gt;=30,4,0))))+IF(T5&gt;=10000,10,IF(T5&gt;=8000,7,IF(T5&gt;=6000,4,0)))+IF(U5&lt;&gt;"",U5*5,0)+IF(V5&lt;&gt;"",V5*10,0)+IF(W5&lt;&gt;"",W5*8,0)+IF(X5&gt;=66,10,IF(X5&gt;=50,6,IF(X5&gt;=33,3,0)))</f>
        <v/>
      </c>
      <c r="AP5" s="4">
        <f>IF(AA5=1,5,0)+IF(AB5=1,5,0)+IF(AC5=1,5,0)+IF(AD5=1,5,0)+IF(AE5=1,5,0)+IF(AF5=1,5,0)</f>
        <v/>
      </c>
      <c r="AQ5" s="4">
        <f>IF(AG5&lt;&gt;"",AG5*8,0)+IF(AH5&lt;&gt;"",AH5*5,0)+IF(AI5&lt;&gt;"",AI5*10,0)+IF(AJ5&lt;&gt;"",AJ5*3,0)+IF(AK5=1,5,0)+IF(AL5&lt;&gt;"",AL5*5,0)</f>
        <v/>
      </c>
      <c r="AR5" s="4">
        <f>AM5+AN5+AO5+AP5+AQ5</f>
        <v/>
      </c>
    </row>
    <row r="6">
      <c r="A6" s="4" t="n">
        <v>3</v>
      </c>
      <c r="B6" s="4" t="inlineStr">
        <is>
          <t>Fri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>
        <f>SUMPRODUCT((TRUNC(C6:G6))*10)+SUMPRODUCT(ROUND((C6:G6-TRUNC(C6:G6))*10,0)*5)+IF(H6="",0,H6*10)</f>
        <v/>
      </c>
      <c r="AN6" s="4">
        <f>IF(AND(I6&gt;=70,I6&lt;=140),20,IF(AND(I6&gt;140,I6&lt;=180),10,0))+IF(J6&gt;=70,15,IF(J6&gt;=50,8,0))+IF(AND(K6&gt;0,K6&lt;=30),10,IF(AND(K6&gt;30,K6&lt;=50),5,0))+IF(L6=0,10,0)+IF(M6&gt;0,5,0)+IF(N6&lt;&gt;"",N6*2,0)</f>
        <v/>
      </c>
      <c r="AO6" s="4">
        <f>IF(AND(O6&gt;=7,O6&lt;=8),15,IF(AND(O6&gt;=6,O6&lt;7),8,IF(O6&gt;8,10,0)))+IF(P6&gt;=80,10,IF(P6&gt;=70,6,IF(P6&gt;=60,3,0)))+IF(Q6&lt;=60,15,IF(Q6&lt;=70,10,IF(Q6&lt;=80,5,0)))+IF(R6&gt;=50,10,IF(R6&gt;=40,6,IF(R6&gt;=30,3,0)))+IF(S6&gt;=45,15,IF(S6&gt;=40,12,IF(S6&gt;=35,8,IF(S6&gt;=30,4,0))))+IF(T6&gt;=10000,10,IF(T6&gt;=8000,7,IF(T6&gt;=6000,4,0)))+IF(U6&lt;&gt;"",U6*5,0)+IF(V6&lt;&gt;"",V6*10,0)+IF(W6&lt;&gt;"",W6*8,0)+IF(X6&gt;=66,10,IF(X6&gt;=50,6,IF(X6&gt;=33,3,0)))</f>
        <v/>
      </c>
      <c r="AP6" s="4">
        <f>IF(AA6=1,5,0)+IF(AB6=1,5,0)+IF(AC6=1,5,0)+IF(AD6=1,5,0)+IF(AE6=1,5,0)+IF(AF6=1,5,0)</f>
        <v/>
      </c>
      <c r="AQ6" s="4">
        <f>IF(AG6&lt;&gt;"",AG6*8,0)+IF(AH6&lt;&gt;"",AH6*5,0)+IF(AI6&lt;&gt;"",AI6*10,0)+IF(AJ6&lt;&gt;"",AJ6*3,0)+IF(AK6=1,5,0)+IF(AL6&lt;&gt;"",AL6*5,0)</f>
        <v/>
      </c>
      <c r="AR6" s="4">
        <f>AM6+AN6+AO6+AP6+AQ6</f>
        <v/>
      </c>
    </row>
    <row r="7">
      <c r="A7" s="4" t="n">
        <v>4</v>
      </c>
      <c r="B7" s="4" t="inlineStr">
        <is>
          <t>Sat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>
        <f>SUMPRODUCT((TRUNC(C7:G7))*10)+SUMPRODUCT(ROUND((C7:G7-TRUNC(C7:G7))*10,0)*5)+IF(H7="",0,H7*10)</f>
        <v/>
      </c>
      <c r="AN7" s="4">
        <f>IF(AND(I7&gt;=70,I7&lt;=140),20,IF(AND(I7&gt;140,I7&lt;=180),10,0))+IF(J7&gt;=70,15,IF(J7&gt;=50,8,0))+IF(AND(K7&gt;0,K7&lt;=30),10,IF(AND(K7&gt;30,K7&lt;=50),5,0))+IF(L7=0,10,0)+IF(M7&gt;0,5,0)+IF(N7&lt;&gt;"",N7*2,0)</f>
        <v/>
      </c>
      <c r="AO7" s="4">
        <f>IF(AND(O7&gt;=7,O7&lt;=8),15,IF(AND(O7&gt;=6,O7&lt;7),8,IF(O7&gt;8,10,0)))+IF(P7&gt;=80,10,IF(P7&gt;=70,6,IF(P7&gt;=60,3,0)))+IF(Q7&lt;=60,15,IF(Q7&lt;=70,10,IF(Q7&lt;=80,5,0)))+IF(R7&gt;=50,10,IF(R7&gt;=40,6,IF(R7&gt;=30,3,0)))+IF(S7&gt;=45,15,IF(S7&gt;=40,12,IF(S7&gt;=35,8,IF(S7&gt;=30,4,0))))+IF(T7&gt;=10000,10,IF(T7&gt;=8000,7,IF(T7&gt;=6000,4,0)))+IF(U7&lt;&gt;"",U7*5,0)+IF(V7&lt;&gt;"",V7*10,0)+IF(W7&lt;&gt;"",W7*8,0)+IF(X7&gt;=66,10,IF(X7&gt;=50,6,IF(X7&gt;=33,3,0)))</f>
        <v/>
      </c>
      <c r="AP7" s="4">
        <f>IF(AA7=1,5,0)+IF(AB7=1,5,0)+IF(AC7=1,5,0)+IF(AD7=1,5,0)+IF(AE7=1,5,0)+IF(AF7=1,5,0)</f>
        <v/>
      </c>
      <c r="AQ7" s="4">
        <f>IF(AG7&lt;&gt;"",AG7*8,0)+IF(AH7&lt;&gt;"",AH7*5,0)+IF(AI7&lt;&gt;"",AI7*10,0)+IF(AJ7&lt;&gt;"",AJ7*3,0)+IF(AK7=1,5,0)+IF(AL7&lt;&gt;"",AL7*5,0)</f>
        <v/>
      </c>
      <c r="AR7" s="4">
        <f>AM7+AN7+AO7+AP7+AQ7</f>
        <v/>
      </c>
    </row>
    <row r="8">
      <c r="A8" s="4" t="n">
        <v>5</v>
      </c>
      <c r="B8" s="4" t="inlineStr">
        <is>
          <t>Sun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>
        <f>SUMPRODUCT((TRUNC(C8:G8))*10)+SUMPRODUCT(ROUND((C8:G8-TRUNC(C8:G8))*10,0)*5)+IF(H8="",0,H8*10)</f>
        <v/>
      </c>
      <c r="AN8" s="4">
        <f>IF(AND(I8&gt;=70,I8&lt;=140),20,IF(AND(I8&gt;140,I8&lt;=180),10,0))+IF(J8&gt;=70,15,IF(J8&gt;=50,8,0))+IF(AND(K8&gt;0,K8&lt;=30),10,IF(AND(K8&gt;30,K8&lt;=50),5,0))+IF(L8=0,10,0)+IF(M8&gt;0,5,0)+IF(N8&lt;&gt;"",N8*2,0)</f>
        <v/>
      </c>
      <c r="AO8" s="4">
        <f>IF(AND(O8&gt;=7,O8&lt;=8),15,IF(AND(O8&gt;=6,O8&lt;7),8,IF(O8&gt;8,10,0)))+IF(P8&gt;=80,10,IF(P8&gt;=70,6,IF(P8&gt;=60,3,0)))+IF(Q8&lt;=60,15,IF(Q8&lt;=70,10,IF(Q8&lt;=80,5,0)))+IF(R8&gt;=50,10,IF(R8&gt;=40,6,IF(R8&gt;=30,3,0)))+IF(S8&gt;=45,15,IF(S8&gt;=40,12,IF(S8&gt;=35,8,IF(S8&gt;=30,4,0))))+IF(T8&gt;=10000,10,IF(T8&gt;=8000,7,IF(T8&gt;=6000,4,0)))+IF(U8&lt;&gt;"",U8*5,0)+IF(V8&lt;&gt;"",V8*10,0)+IF(W8&lt;&gt;"",W8*8,0)+IF(X8&gt;=66,10,IF(X8&gt;=50,6,IF(X8&gt;=33,3,0)))</f>
        <v/>
      </c>
      <c r="AP8" s="4">
        <f>IF(AA8=1,5,0)+IF(AB8=1,5,0)+IF(AC8=1,5,0)+IF(AD8=1,5,0)+IF(AE8=1,5,0)+IF(AF8=1,5,0)</f>
        <v/>
      </c>
      <c r="AQ8" s="4">
        <f>IF(AG8&lt;&gt;"",AG8*8,0)+IF(AH8&lt;&gt;"",AH8*5,0)+IF(AI8&lt;&gt;"",AI8*10,0)+IF(AJ8&lt;&gt;"",AJ8*3,0)+IF(AK8=1,5,0)+IF(AL8&lt;&gt;"",AL8*5,0)</f>
        <v/>
      </c>
      <c r="AR8" s="4">
        <f>AM8+AN8+AO8+AP8+AQ8</f>
        <v/>
      </c>
    </row>
    <row r="9">
      <c r="A9" s="4" t="n">
        <v>6</v>
      </c>
      <c r="B9" s="4" t="inlineStr">
        <is>
          <t>Mon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>
        <f>SUMPRODUCT((TRUNC(C9:G9))*10)+SUMPRODUCT(ROUND((C9:G9-TRUNC(C9:G9))*10,0)*5)+IF(H9="",0,H9*10)</f>
        <v/>
      </c>
      <c r="AN9" s="4">
        <f>IF(AND(I9&gt;=70,I9&lt;=140),20,IF(AND(I9&gt;140,I9&lt;=180),10,0))+IF(J9&gt;=70,15,IF(J9&gt;=50,8,0))+IF(AND(K9&gt;0,K9&lt;=30),10,IF(AND(K9&gt;30,K9&lt;=50),5,0))+IF(L9=0,10,0)+IF(M9&gt;0,5,0)+IF(N9&lt;&gt;"",N9*2,0)</f>
        <v/>
      </c>
      <c r="AO9" s="4">
        <f>IF(AND(O9&gt;=7,O9&lt;=8),15,IF(AND(O9&gt;=6,O9&lt;7),8,IF(O9&gt;8,10,0)))+IF(P9&gt;=80,10,IF(P9&gt;=70,6,IF(P9&gt;=60,3,0)))+IF(Q9&lt;=60,15,IF(Q9&lt;=70,10,IF(Q9&lt;=80,5,0)))+IF(R9&gt;=50,10,IF(R9&gt;=40,6,IF(R9&gt;=30,3,0)))+IF(S9&gt;=45,15,IF(S9&gt;=40,12,IF(S9&gt;=35,8,IF(S9&gt;=30,4,0))))+IF(T9&gt;=10000,10,IF(T9&gt;=8000,7,IF(T9&gt;=6000,4,0)))+IF(U9&lt;&gt;"",U9*5,0)+IF(V9&lt;&gt;"",V9*10,0)+IF(W9&lt;&gt;"",W9*8,0)+IF(X9&gt;=66,10,IF(X9&gt;=50,6,IF(X9&gt;=33,3,0)))</f>
        <v/>
      </c>
      <c r="AP9" s="4">
        <f>IF(AA9=1,5,0)+IF(AB9=1,5,0)+IF(AC9=1,5,0)+IF(AD9=1,5,0)+IF(AE9=1,5,0)+IF(AF9=1,5,0)</f>
        <v/>
      </c>
      <c r="AQ9" s="4">
        <f>IF(AG9&lt;&gt;"",AG9*8,0)+IF(AH9&lt;&gt;"",AH9*5,0)+IF(AI9&lt;&gt;"",AI9*10,0)+IF(AJ9&lt;&gt;"",AJ9*3,0)+IF(AK9=1,5,0)+IF(AL9&lt;&gt;"",AL9*5,0)</f>
        <v/>
      </c>
      <c r="AR9" s="4">
        <f>AM9+AN9+AO9+AP9+AQ9</f>
        <v/>
      </c>
    </row>
    <row r="10">
      <c r="A10" s="4" t="n">
        <v>7</v>
      </c>
      <c r="B10" s="4" t="inlineStr">
        <is>
          <t>Tue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>
        <f>SUMPRODUCT((TRUNC(C10:G10))*10)+SUMPRODUCT(ROUND((C10:G10-TRUNC(C10:G10))*10,0)*5)+IF(H10="",0,H10*10)</f>
        <v/>
      </c>
      <c r="AN10" s="4">
        <f>IF(AND(I10&gt;=70,I10&lt;=140),20,IF(AND(I10&gt;140,I10&lt;=180),10,0))+IF(J10&gt;=70,15,IF(J10&gt;=50,8,0))+IF(AND(K10&gt;0,K10&lt;=30),10,IF(AND(K10&gt;30,K10&lt;=50),5,0))+IF(L10=0,10,0)+IF(M10&gt;0,5,0)+IF(N10&lt;&gt;"",N10*2,0)</f>
        <v/>
      </c>
      <c r="AO10" s="4">
        <f>IF(AND(O10&gt;=7,O10&lt;=8),15,IF(AND(O10&gt;=6,O10&lt;7),8,IF(O10&gt;8,10,0)))+IF(P10&gt;=80,10,IF(P10&gt;=70,6,IF(P10&gt;=60,3,0)))+IF(Q10&lt;=60,15,IF(Q10&lt;=70,10,IF(Q10&lt;=80,5,0)))+IF(R10&gt;=50,10,IF(R10&gt;=40,6,IF(R10&gt;=30,3,0)))+IF(S10&gt;=45,15,IF(S10&gt;=40,12,IF(S10&gt;=35,8,IF(S10&gt;=30,4,0))))+IF(T10&gt;=10000,10,IF(T10&gt;=8000,7,IF(T10&gt;=6000,4,0)))+IF(U10&lt;&gt;"",U10*5,0)+IF(V10&lt;&gt;"",V10*10,0)+IF(W10&lt;&gt;"",W10*8,0)+IF(X10&gt;=66,10,IF(X10&gt;=50,6,IF(X10&gt;=33,3,0)))</f>
        <v/>
      </c>
      <c r="AP10" s="4">
        <f>IF(AA10=1,5,0)+IF(AB10=1,5,0)+IF(AC10=1,5,0)+IF(AD10=1,5,0)+IF(AE10=1,5,0)+IF(AF10=1,5,0)</f>
        <v/>
      </c>
      <c r="AQ10" s="4">
        <f>IF(AG10&lt;&gt;"",AG10*8,0)+IF(AH10&lt;&gt;"",AH10*5,0)+IF(AI10&lt;&gt;"",AI10*10,0)+IF(AJ10&lt;&gt;"",AJ10*3,0)+IF(AK10=1,5,0)+IF(AL10&lt;&gt;"",AL10*5,0)</f>
        <v/>
      </c>
      <c r="AR10" s="4">
        <f>AM10+AN10+AO10+AP10+AQ10</f>
        <v/>
      </c>
    </row>
    <row r="11">
      <c r="A11" s="4" t="n">
        <v>8</v>
      </c>
      <c r="B11" s="4" t="inlineStr">
        <is>
          <t>Wed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>
        <f>SUMPRODUCT((TRUNC(C11:G11))*10)+SUMPRODUCT(ROUND((C11:G11-TRUNC(C11:G11))*10,0)*5)+IF(H11="",0,H11*10)</f>
        <v/>
      </c>
      <c r="AN11" s="4">
        <f>IF(AND(I11&gt;=70,I11&lt;=140),20,IF(AND(I11&gt;140,I11&lt;=180),10,0))+IF(J11&gt;=70,15,IF(J11&gt;=50,8,0))+IF(AND(K11&gt;0,K11&lt;=30),10,IF(AND(K11&gt;30,K11&lt;=50),5,0))+IF(L11=0,10,0)+IF(M11&gt;0,5,0)+IF(N11&lt;&gt;"",N11*2,0)</f>
        <v/>
      </c>
      <c r="AO11" s="4">
        <f>IF(AND(O11&gt;=7,O11&lt;=8),15,IF(AND(O11&gt;=6,O11&lt;7),8,IF(O11&gt;8,10,0)))+IF(P11&gt;=80,10,IF(P11&gt;=70,6,IF(P11&gt;=60,3,0)))+IF(Q11&lt;=60,15,IF(Q11&lt;=70,10,IF(Q11&lt;=80,5,0)))+IF(R11&gt;=50,10,IF(R11&gt;=40,6,IF(R11&gt;=30,3,0)))+IF(S11&gt;=45,15,IF(S11&gt;=40,12,IF(S11&gt;=35,8,IF(S11&gt;=30,4,0))))+IF(T11&gt;=10000,10,IF(T11&gt;=8000,7,IF(T11&gt;=6000,4,0)))+IF(U11&lt;&gt;"",U11*5,0)+IF(V11&lt;&gt;"",V11*10,0)+IF(W11&lt;&gt;"",W11*8,0)+IF(X11&gt;=66,10,IF(X11&gt;=50,6,IF(X11&gt;=33,3,0)))</f>
        <v/>
      </c>
      <c r="AP11" s="4">
        <f>IF(AA11=1,5,0)+IF(AB11=1,5,0)+IF(AC11=1,5,0)+IF(AD11=1,5,0)+IF(AE11=1,5,0)+IF(AF11=1,5,0)</f>
        <v/>
      </c>
      <c r="AQ11" s="4">
        <f>IF(AG11&lt;&gt;"",AG11*8,0)+IF(AH11&lt;&gt;"",AH11*5,0)+IF(AI11&lt;&gt;"",AI11*10,0)+IF(AJ11&lt;&gt;"",AJ11*3,0)+IF(AK11=1,5,0)+IF(AL11&lt;&gt;"",AL11*5,0)</f>
        <v/>
      </c>
      <c r="AR11" s="4">
        <f>AM11+AN11+AO11+AP11+AQ11</f>
        <v/>
      </c>
    </row>
    <row r="12">
      <c r="A12" s="4" t="n">
        <v>9</v>
      </c>
      <c r="B12" s="4" t="inlineStr">
        <is>
          <t>Thu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>
        <f>SUMPRODUCT((TRUNC(C12:G12))*10)+SUMPRODUCT(ROUND((C12:G12-TRUNC(C12:G12))*10,0)*5)+IF(H12="",0,H12*10)</f>
        <v/>
      </c>
      <c r="AN12" s="4">
        <f>IF(AND(I12&gt;=70,I12&lt;=140),20,IF(AND(I12&gt;140,I12&lt;=180),10,0))+IF(J12&gt;=70,15,IF(J12&gt;=50,8,0))+IF(AND(K12&gt;0,K12&lt;=30),10,IF(AND(K12&gt;30,K12&lt;=50),5,0))+IF(L12=0,10,0)+IF(M12&gt;0,5,0)+IF(N12&lt;&gt;"",N12*2,0)</f>
        <v/>
      </c>
      <c r="AO12" s="4">
        <f>IF(AND(O12&gt;=7,O12&lt;=8),15,IF(AND(O12&gt;=6,O12&lt;7),8,IF(O12&gt;8,10,0)))+IF(P12&gt;=80,10,IF(P12&gt;=70,6,IF(P12&gt;=60,3,0)))+IF(Q12&lt;=60,15,IF(Q12&lt;=70,10,IF(Q12&lt;=80,5,0)))+IF(R12&gt;=50,10,IF(R12&gt;=40,6,IF(R12&gt;=30,3,0)))+IF(S12&gt;=45,15,IF(S12&gt;=40,12,IF(S12&gt;=35,8,IF(S12&gt;=30,4,0))))+IF(T12&gt;=10000,10,IF(T12&gt;=8000,7,IF(T12&gt;=6000,4,0)))+IF(U12&lt;&gt;"",U12*5,0)+IF(V12&lt;&gt;"",V12*10,0)+IF(W12&lt;&gt;"",W12*8,0)+IF(X12&gt;=66,10,IF(X12&gt;=50,6,IF(X12&gt;=33,3,0)))</f>
        <v/>
      </c>
      <c r="AP12" s="4">
        <f>IF(AA12=1,5,0)+IF(AB12=1,5,0)+IF(AC12=1,5,0)+IF(AD12=1,5,0)+IF(AE12=1,5,0)+IF(AF12=1,5,0)</f>
        <v/>
      </c>
      <c r="AQ12" s="4">
        <f>IF(AG12&lt;&gt;"",AG12*8,0)+IF(AH12&lt;&gt;"",AH12*5,0)+IF(AI12&lt;&gt;"",AI12*10,0)+IF(AJ12&lt;&gt;"",AJ12*3,0)+IF(AK12=1,5,0)+IF(AL12&lt;&gt;"",AL12*5,0)</f>
        <v/>
      </c>
      <c r="AR12" s="4">
        <f>AM12+AN12+AO12+AP12+AQ12</f>
        <v/>
      </c>
    </row>
    <row r="13">
      <c r="A13" s="4" t="n">
        <v>10</v>
      </c>
      <c r="B13" s="4" t="inlineStr">
        <is>
          <t>Fri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>
        <f>SUMPRODUCT((TRUNC(C13:G13))*10)+SUMPRODUCT(ROUND((C13:G13-TRUNC(C13:G13))*10,0)*5)+IF(H13="",0,H13*10)</f>
        <v/>
      </c>
      <c r="AN13" s="4">
        <f>IF(AND(I13&gt;=70,I13&lt;=140),20,IF(AND(I13&gt;140,I13&lt;=180),10,0))+IF(J13&gt;=70,15,IF(J13&gt;=50,8,0))+IF(AND(K13&gt;0,K13&lt;=30),10,IF(AND(K13&gt;30,K13&lt;=50),5,0))+IF(L13=0,10,0)+IF(M13&gt;0,5,0)+IF(N13&lt;&gt;"",N13*2,0)</f>
        <v/>
      </c>
      <c r="AO13" s="4">
        <f>IF(AND(O13&gt;=7,O13&lt;=8),15,IF(AND(O13&gt;=6,O13&lt;7),8,IF(O13&gt;8,10,0)))+IF(P13&gt;=80,10,IF(P13&gt;=70,6,IF(P13&gt;=60,3,0)))+IF(Q13&lt;=60,15,IF(Q13&lt;=70,10,IF(Q13&lt;=80,5,0)))+IF(R13&gt;=50,10,IF(R13&gt;=40,6,IF(R13&gt;=30,3,0)))+IF(S13&gt;=45,15,IF(S13&gt;=40,12,IF(S13&gt;=35,8,IF(S13&gt;=30,4,0))))+IF(T13&gt;=10000,10,IF(T13&gt;=8000,7,IF(T13&gt;=6000,4,0)))+IF(U13&lt;&gt;"",U13*5,0)+IF(V13&lt;&gt;"",V13*10,0)+IF(W13&lt;&gt;"",W13*8,0)+IF(X13&gt;=66,10,IF(X13&gt;=50,6,IF(X13&gt;=33,3,0)))</f>
        <v/>
      </c>
      <c r="AP13" s="4">
        <f>IF(AA13=1,5,0)+IF(AB13=1,5,0)+IF(AC13=1,5,0)+IF(AD13=1,5,0)+IF(AE13=1,5,0)+IF(AF13=1,5,0)</f>
        <v/>
      </c>
      <c r="AQ13" s="4">
        <f>IF(AG13&lt;&gt;"",AG13*8,0)+IF(AH13&lt;&gt;"",AH13*5,0)+IF(AI13&lt;&gt;"",AI13*10,0)+IF(AJ13&lt;&gt;"",AJ13*3,0)+IF(AK13=1,5,0)+IF(AL13&lt;&gt;"",AL13*5,0)</f>
        <v/>
      </c>
      <c r="AR13" s="4">
        <f>AM13+AN13+AO13+AP13+AQ13</f>
        <v/>
      </c>
    </row>
    <row r="14">
      <c r="A14" s="4" t="n">
        <v>11</v>
      </c>
      <c r="B14" s="4" t="inlineStr">
        <is>
          <t>Sat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>
        <f>SUMPRODUCT((TRUNC(C14:G14))*10)+SUMPRODUCT(ROUND((C14:G14-TRUNC(C14:G14))*10,0)*5)+IF(H14="",0,H14*10)</f>
        <v/>
      </c>
      <c r="AN14" s="4">
        <f>IF(AND(I14&gt;=70,I14&lt;=140),20,IF(AND(I14&gt;140,I14&lt;=180),10,0))+IF(J14&gt;=70,15,IF(J14&gt;=50,8,0))+IF(AND(K14&gt;0,K14&lt;=30),10,IF(AND(K14&gt;30,K14&lt;=50),5,0))+IF(L14=0,10,0)+IF(M14&gt;0,5,0)+IF(N14&lt;&gt;"",N14*2,0)</f>
        <v/>
      </c>
      <c r="AO14" s="4">
        <f>IF(AND(O14&gt;=7,O14&lt;=8),15,IF(AND(O14&gt;=6,O14&lt;7),8,IF(O14&gt;8,10,0)))+IF(P14&gt;=80,10,IF(P14&gt;=70,6,IF(P14&gt;=60,3,0)))+IF(Q14&lt;=60,15,IF(Q14&lt;=70,10,IF(Q14&lt;=80,5,0)))+IF(R14&gt;=50,10,IF(R14&gt;=40,6,IF(R14&gt;=30,3,0)))+IF(S14&gt;=45,15,IF(S14&gt;=40,12,IF(S14&gt;=35,8,IF(S14&gt;=30,4,0))))+IF(T14&gt;=10000,10,IF(T14&gt;=8000,7,IF(T14&gt;=6000,4,0)))+IF(U14&lt;&gt;"",U14*5,0)+IF(V14&lt;&gt;"",V14*10,0)+IF(W14&lt;&gt;"",W14*8,0)+IF(X14&gt;=66,10,IF(X14&gt;=50,6,IF(X14&gt;=33,3,0)))</f>
        <v/>
      </c>
      <c r="AP14" s="4">
        <f>IF(AA14=1,5,0)+IF(AB14=1,5,0)+IF(AC14=1,5,0)+IF(AD14=1,5,0)+IF(AE14=1,5,0)+IF(AF14=1,5,0)</f>
        <v/>
      </c>
      <c r="AQ14" s="4">
        <f>IF(AG14&lt;&gt;"",AG14*8,0)+IF(AH14&lt;&gt;"",AH14*5,0)+IF(AI14&lt;&gt;"",AI14*10,0)+IF(AJ14&lt;&gt;"",AJ14*3,0)+IF(AK14=1,5,0)+IF(AL14&lt;&gt;"",AL14*5,0)</f>
        <v/>
      </c>
      <c r="AR14" s="4">
        <f>AM14+AN14+AO14+AP14+AQ14</f>
        <v/>
      </c>
    </row>
    <row r="15">
      <c r="A15" s="4" t="n">
        <v>12</v>
      </c>
      <c r="B15" s="4" t="inlineStr">
        <is>
          <t>Sun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>
        <f>SUMPRODUCT((TRUNC(C15:G15))*10)+SUMPRODUCT(ROUND((C15:G15-TRUNC(C15:G15))*10,0)*5)+IF(H15="",0,H15*10)</f>
        <v/>
      </c>
      <c r="AN15" s="4">
        <f>IF(AND(I15&gt;=70,I15&lt;=140),20,IF(AND(I15&gt;140,I15&lt;=180),10,0))+IF(J15&gt;=70,15,IF(J15&gt;=50,8,0))+IF(AND(K15&gt;0,K15&lt;=30),10,IF(AND(K15&gt;30,K15&lt;=50),5,0))+IF(L15=0,10,0)+IF(M15&gt;0,5,0)+IF(N15&lt;&gt;"",N15*2,0)</f>
        <v/>
      </c>
      <c r="AO15" s="4">
        <f>IF(AND(O15&gt;=7,O15&lt;=8),15,IF(AND(O15&gt;=6,O15&lt;7),8,IF(O15&gt;8,10,0)))+IF(P15&gt;=80,10,IF(P15&gt;=70,6,IF(P15&gt;=60,3,0)))+IF(Q15&lt;=60,15,IF(Q15&lt;=70,10,IF(Q15&lt;=80,5,0)))+IF(R15&gt;=50,10,IF(R15&gt;=40,6,IF(R15&gt;=30,3,0)))+IF(S15&gt;=45,15,IF(S15&gt;=40,12,IF(S15&gt;=35,8,IF(S15&gt;=30,4,0))))+IF(T15&gt;=10000,10,IF(T15&gt;=8000,7,IF(T15&gt;=6000,4,0)))+IF(U15&lt;&gt;"",U15*5,0)+IF(V15&lt;&gt;"",V15*10,0)+IF(W15&lt;&gt;"",W15*8,0)+IF(X15&gt;=66,10,IF(X15&gt;=50,6,IF(X15&gt;=33,3,0)))</f>
        <v/>
      </c>
      <c r="AP15" s="4">
        <f>IF(AA15=1,5,0)+IF(AB15=1,5,0)+IF(AC15=1,5,0)+IF(AD15=1,5,0)+IF(AE15=1,5,0)+IF(AF15=1,5,0)</f>
        <v/>
      </c>
      <c r="AQ15" s="4">
        <f>IF(AG15&lt;&gt;"",AG15*8,0)+IF(AH15&lt;&gt;"",AH15*5,0)+IF(AI15&lt;&gt;"",AI15*10,0)+IF(AJ15&lt;&gt;"",AJ15*3,0)+IF(AK15=1,5,0)+IF(AL15&lt;&gt;"",AL15*5,0)</f>
        <v/>
      </c>
      <c r="AR15" s="4">
        <f>AM15+AN15+AO15+AP15+AQ15</f>
        <v/>
      </c>
    </row>
    <row r="16">
      <c r="A16" s="4" t="n">
        <v>13</v>
      </c>
      <c r="B16" s="4" t="inlineStr">
        <is>
          <t>Mon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>
        <f>SUMPRODUCT((TRUNC(C16:G16))*10)+SUMPRODUCT(ROUND((C16:G16-TRUNC(C16:G16))*10,0)*5)+IF(H16="",0,H16*10)</f>
        <v/>
      </c>
      <c r="AN16" s="4">
        <f>IF(AND(I16&gt;=70,I16&lt;=140),20,IF(AND(I16&gt;140,I16&lt;=180),10,0))+IF(J16&gt;=70,15,IF(J16&gt;=50,8,0))+IF(AND(K16&gt;0,K16&lt;=30),10,IF(AND(K16&gt;30,K16&lt;=50),5,0))+IF(L16=0,10,0)+IF(M16&gt;0,5,0)+IF(N16&lt;&gt;"",N16*2,0)</f>
        <v/>
      </c>
      <c r="AO16" s="4">
        <f>IF(AND(O16&gt;=7,O16&lt;=8),15,IF(AND(O16&gt;=6,O16&lt;7),8,IF(O16&gt;8,10,0)))+IF(P16&gt;=80,10,IF(P16&gt;=70,6,IF(P16&gt;=60,3,0)))+IF(Q16&lt;=60,15,IF(Q16&lt;=70,10,IF(Q16&lt;=80,5,0)))+IF(R16&gt;=50,10,IF(R16&gt;=40,6,IF(R16&gt;=30,3,0)))+IF(S16&gt;=45,15,IF(S16&gt;=40,12,IF(S16&gt;=35,8,IF(S16&gt;=30,4,0))))+IF(T16&gt;=10000,10,IF(T16&gt;=8000,7,IF(T16&gt;=6000,4,0)))+IF(U16&lt;&gt;"",U16*5,0)+IF(V16&lt;&gt;"",V16*10,0)+IF(W16&lt;&gt;"",W16*8,0)+IF(X16&gt;=66,10,IF(X16&gt;=50,6,IF(X16&gt;=33,3,0)))</f>
        <v/>
      </c>
      <c r="AP16" s="4">
        <f>IF(AA16=1,5,0)+IF(AB16=1,5,0)+IF(AC16=1,5,0)+IF(AD16=1,5,0)+IF(AE16=1,5,0)+IF(AF16=1,5,0)</f>
        <v/>
      </c>
      <c r="AQ16" s="4">
        <f>IF(AG16&lt;&gt;"",AG16*8,0)+IF(AH16&lt;&gt;"",AH16*5,0)+IF(AI16&lt;&gt;"",AI16*10,0)+IF(AJ16&lt;&gt;"",AJ16*3,0)+IF(AK16=1,5,0)+IF(AL16&lt;&gt;"",AL16*5,0)</f>
        <v/>
      </c>
      <c r="AR16" s="4">
        <f>AM16+AN16+AO16+AP16+AQ16</f>
        <v/>
      </c>
    </row>
    <row r="17">
      <c r="A17" s="4" t="n">
        <v>14</v>
      </c>
      <c r="B17" s="4" t="inlineStr">
        <is>
          <t>Tue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>
        <f>SUMPRODUCT((TRUNC(C17:G17))*10)+SUMPRODUCT(ROUND((C17:G17-TRUNC(C17:G17))*10,0)*5)+IF(H17="",0,H17*10)</f>
        <v/>
      </c>
      <c r="AN17" s="4">
        <f>IF(AND(I17&gt;=70,I17&lt;=140),20,IF(AND(I17&gt;140,I17&lt;=180),10,0))+IF(J17&gt;=70,15,IF(J17&gt;=50,8,0))+IF(AND(K17&gt;0,K17&lt;=30),10,IF(AND(K17&gt;30,K17&lt;=50),5,0))+IF(L17=0,10,0)+IF(M17&gt;0,5,0)+IF(N17&lt;&gt;"",N17*2,0)</f>
        <v/>
      </c>
      <c r="AO17" s="4">
        <f>IF(AND(O17&gt;=7,O17&lt;=8),15,IF(AND(O17&gt;=6,O17&lt;7),8,IF(O17&gt;8,10,0)))+IF(P17&gt;=80,10,IF(P17&gt;=70,6,IF(P17&gt;=60,3,0)))+IF(Q17&lt;=60,15,IF(Q17&lt;=70,10,IF(Q17&lt;=80,5,0)))+IF(R17&gt;=50,10,IF(R17&gt;=40,6,IF(R17&gt;=30,3,0)))+IF(S17&gt;=45,15,IF(S17&gt;=40,12,IF(S17&gt;=35,8,IF(S17&gt;=30,4,0))))+IF(T17&gt;=10000,10,IF(T17&gt;=8000,7,IF(T17&gt;=6000,4,0)))+IF(U17&lt;&gt;"",U17*5,0)+IF(V17&lt;&gt;"",V17*10,0)+IF(W17&lt;&gt;"",W17*8,0)+IF(X17&gt;=66,10,IF(X17&gt;=50,6,IF(X17&gt;=33,3,0)))</f>
        <v/>
      </c>
      <c r="AP17" s="4">
        <f>IF(AA17=1,5,0)+IF(AB17=1,5,0)+IF(AC17=1,5,0)+IF(AD17=1,5,0)+IF(AE17=1,5,0)+IF(AF17=1,5,0)</f>
        <v/>
      </c>
      <c r="AQ17" s="4">
        <f>IF(AG17&lt;&gt;"",AG17*8,0)+IF(AH17&lt;&gt;"",AH17*5,0)+IF(AI17&lt;&gt;"",AI17*10,0)+IF(AJ17&lt;&gt;"",AJ17*3,0)+IF(AK17=1,5,0)+IF(AL17&lt;&gt;"",AL17*5,0)</f>
        <v/>
      </c>
      <c r="AR17" s="4">
        <f>AM17+AN17+AO17+AP17+AQ17</f>
        <v/>
      </c>
    </row>
    <row r="18">
      <c r="A18" s="4" t="n">
        <v>15</v>
      </c>
      <c r="B18" s="4" t="inlineStr">
        <is>
          <t>Wed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>
        <f>SUMPRODUCT((TRUNC(C18:G18))*10)+SUMPRODUCT(ROUND((C18:G18-TRUNC(C18:G18))*10,0)*5)+IF(H18="",0,H18*10)</f>
        <v/>
      </c>
      <c r="AN18" s="4">
        <f>IF(AND(I18&gt;=70,I18&lt;=140),20,IF(AND(I18&gt;140,I18&lt;=180),10,0))+IF(J18&gt;=70,15,IF(J18&gt;=50,8,0))+IF(AND(K18&gt;0,K18&lt;=30),10,IF(AND(K18&gt;30,K18&lt;=50),5,0))+IF(L18=0,10,0)+IF(M18&gt;0,5,0)+IF(N18&lt;&gt;"",N18*2,0)</f>
        <v/>
      </c>
      <c r="AO18" s="4">
        <f>IF(AND(O18&gt;=7,O18&lt;=8),15,IF(AND(O18&gt;=6,O18&lt;7),8,IF(O18&gt;8,10,0)))+IF(P18&gt;=80,10,IF(P18&gt;=70,6,IF(P18&gt;=60,3,0)))+IF(Q18&lt;=60,15,IF(Q18&lt;=70,10,IF(Q18&lt;=80,5,0)))+IF(R18&gt;=50,10,IF(R18&gt;=40,6,IF(R18&gt;=30,3,0)))+IF(S18&gt;=45,15,IF(S18&gt;=40,12,IF(S18&gt;=35,8,IF(S18&gt;=30,4,0))))+IF(T18&gt;=10000,10,IF(T18&gt;=8000,7,IF(T18&gt;=6000,4,0)))+IF(U18&lt;&gt;"",U18*5,0)+IF(V18&lt;&gt;"",V18*10,0)+IF(W18&lt;&gt;"",W18*8,0)+IF(X18&gt;=66,10,IF(X18&gt;=50,6,IF(X18&gt;=33,3,0)))</f>
        <v/>
      </c>
      <c r="AP18" s="4">
        <f>IF(AA18=1,5,0)+IF(AB18=1,5,0)+IF(AC18=1,5,0)+IF(AD18=1,5,0)+IF(AE18=1,5,0)+IF(AF18=1,5,0)</f>
        <v/>
      </c>
      <c r="AQ18" s="4">
        <f>IF(AG18&lt;&gt;"",AG18*8,0)+IF(AH18&lt;&gt;"",AH18*5,0)+IF(AI18&lt;&gt;"",AI18*10,0)+IF(AJ18&lt;&gt;"",AJ18*3,0)+IF(AK18=1,5,0)+IF(AL18&lt;&gt;"",AL18*5,0)</f>
        <v/>
      </c>
      <c r="AR18" s="4">
        <f>AM18+AN18+AO18+AP18+AQ18</f>
        <v/>
      </c>
    </row>
    <row r="19">
      <c r="A19" s="4" t="n">
        <v>16</v>
      </c>
      <c r="B19" s="4" t="inlineStr">
        <is>
          <t>Thu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>
        <f>SUMPRODUCT((TRUNC(C19:G19))*10)+SUMPRODUCT(ROUND((C19:G19-TRUNC(C19:G19))*10,0)*5)+IF(H19="",0,H19*10)</f>
        <v/>
      </c>
      <c r="AN19" s="4">
        <f>IF(AND(I19&gt;=70,I19&lt;=140),20,IF(AND(I19&gt;140,I19&lt;=180),10,0))+IF(J19&gt;=70,15,IF(J19&gt;=50,8,0))+IF(AND(K19&gt;0,K19&lt;=30),10,IF(AND(K19&gt;30,K19&lt;=50),5,0))+IF(L19=0,10,0)+IF(M19&gt;0,5,0)+IF(N19&lt;&gt;"",N19*2,0)</f>
        <v/>
      </c>
      <c r="AO19" s="4">
        <f>IF(AND(O19&gt;=7,O19&lt;=8),15,IF(AND(O19&gt;=6,O19&lt;7),8,IF(O19&gt;8,10,0)))+IF(P19&gt;=80,10,IF(P19&gt;=70,6,IF(P19&gt;=60,3,0)))+IF(Q19&lt;=60,15,IF(Q19&lt;=70,10,IF(Q19&lt;=80,5,0)))+IF(R19&gt;=50,10,IF(R19&gt;=40,6,IF(R19&gt;=30,3,0)))+IF(S19&gt;=45,15,IF(S19&gt;=40,12,IF(S19&gt;=35,8,IF(S19&gt;=30,4,0))))+IF(T19&gt;=10000,10,IF(T19&gt;=8000,7,IF(T19&gt;=6000,4,0)))+IF(U19&lt;&gt;"",U19*5,0)+IF(V19&lt;&gt;"",V19*10,0)+IF(W19&lt;&gt;"",W19*8,0)+IF(X19&gt;=66,10,IF(X19&gt;=50,6,IF(X19&gt;=33,3,0)))</f>
        <v/>
      </c>
      <c r="AP19" s="4">
        <f>IF(AA19=1,5,0)+IF(AB19=1,5,0)+IF(AC19=1,5,0)+IF(AD19=1,5,0)+IF(AE19=1,5,0)+IF(AF19=1,5,0)</f>
        <v/>
      </c>
      <c r="AQ19" s="4">
        <f>IF(AG19&lt;&gt;"",AG19*8,0)+IF(AH19&lt;&gt;"",AH19*5,0)+IF(AI19&lt;&gt;"",AI19*10,0)+IF(AJ19&lt;&gt;"",AJ19*3,0)+IF(AK19=1,5,0)+IF(AL19&lt;&gt;"",AL19*5,0)</f>
        <v/>
      </c>
      <c r="AR19" s="4">
        <f>AM19+AN19+AO19+AP19+AQ19</f>
        <v/>
      </c>
    </row>
    <row r="20">
      <c r="A20" s="4" t="n">
        <v>17</v>
      </c>
      <c r="B20" s="4" t="inlineStr">
        <is>
          <t>Fri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>
        <f>SUMPRODUCT((TRUNC(C20:G20))*10)+SUMPRODUCT(ROUND((C20:G20-TRUNC(C20:G20))*10,0)*5)+IF(H20="",0,H20*10)</f>
        <v/>
      </c>
      <c r="AN20" s="4">
        <f>IF(AND(I20&gt;=70,I20&lt;=140),20,IF(AND(I20&gt;140,I20&lt;=180),10,0))+IF(J20&gt;=70,15,IF(J20&gt;=50,8,0))+IF(AND(K20&gt;0,K20&lt;=30),10,IF(AND(K20&gt;30,K20&lt;=50),5,0))+IF(L20=0,10,0)+IF(M20&gt;0,5,0)+IF(N20&lt;&gt;"",N20*2,0)</f>
        <v/>
      </c>
      <c r="AO20" s="4">
        <f>IF(AND(O20&gt;=7,O20&lt;=8),15,IF(AND(O20&gt;=6,O20&lt;7),8,IF(O20&gt;8,10,0)))+IF(P20&gt;=80,10,IF(P20&gt;=70,6,IF(P20&gt;=60,3,0)))+IF(Q20&lt;=60,15,IF(Q20&lt;=70,10,IF(Q20&lt;=80,5,0)))+IF(R20&gt;=50,10,IF(R20&gt;=40,6,IF(R20&gt;=30,3,0)))+IF(S20&gt;=45,15,IF(S20&gt;=40,12,IF(S20&gt;=35,8,IF(S20&gt;=30,4,0))))+IF(T20&gt;=10000,10,IF(T20&gt;=8000,7,IF(T20&gt;=6000,4,0)))+IF(U20&lt;&gt;"",U20*5,0)+IF(V20&lt;&gt;"",V20*10,0)+IF(W20&lt;&gt;"",W20*8,0)+IF(X20&gt;=66,10,IF(X20&gt;=50,6,IF(X20&gt;=33,3,0)))</f>
        <v/>
      </c>
      <c r="AP20" s="4">
        <f>IF(AA20=1,5,0)+IF(AB20=1,5,0)+IF(AC20=1,5,0)+IF(AD20=1,5,0)+IF(AE20=1,5,0)+IF(AF20=1,5,0)</f>
        <v/>
      </c>
      <c r="AQ20" s="4">
        <f>IF(AG20&lt;&gt;"",AG20*8,0)+IF(AH20&lt;&gt;"",AH20*5,0)+IF(AI20&lt;&gt;"",AI20*10,0)+IF(AJ20&lt;&gt;"",AJ20*3,0)+IF(AK20=1,5,0)+IF(AL20&lt;&gt;"",AL20*5,0)</f>
        <v/>
      </c>
      <c r="AR20" s="4">
        <f>AM20+AN20+AO20+AP20+AQ20</f>
        <v/>
      </c>
    </row>
    <row r="21">
      <c r="A21" s="4" t="n">
        <v>18</v>
      </c>
      <c r="B21" s="4" t="inlineStr">
        <is>
          <t>Sat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>
        <f>SUMPRODUCT((TRUNC(C21:G21))*10)+SUMPRODUCT(ROUND((C21:G21-TRUNC(C21:G21))*10,0)*5)+IF(H21="",0,H21*10)</f>
        <v/>
      </c>
      <c r="AN21" s="4">
        <f>IF(AND(I21&gt;=70,I21&lt;=140),20,IF(AND(I21&gt;140,I21&lt;=180),10,0))+IF(J21&gt;=70,15,IF(J21&gt;=50,8,0))+IF(AND(K21&gt;0,K21&lt;=30),10,IF(AND(K21&gt;30,K21&lt;=50),5,0))+IF(L21=0,10,0)+IF(M21&gt;0,5,0)+IF(N21&lt;&gt;"",N21*2,0)</f>
        <v/>
      </c>
      <c r="AO21" s="4">
        <f>IF(AND(O21&gt;=7,O21&lt;=8),15,IF(AND(O21&gt;=6,O21&lt;7),8,IF(O21&gt;8,10,0)))+IF(P21&gt;=80,10,IF(P21&gt;=70,6,IF(P21&gt;=60,3,0)))+IF(Q21&lt;=60,15,IF(Q21&lt;=70,10,IF(Q21&lt;=80,5,0)))+IF(R21&gt;=50,10,IF(R21&gt;=40,6,IF(R21&gt;=30,3,0)))+IF(S21&gt;=45,15,IF(S21&gt;=40,12,IF(S21&gt;=35,8,IF(S21&gt;=30,4,0))))+IF(T21&gt;=10000,10,IF(T21&gt;=8000,7,IF(T21&gt;=6000,4,0)))+IF(U21&lt;&gt;"",U21*5,0)+IF(V21&lt;&gt;"",V21*10,0)+IF(W21&lt;&gt;"",W21*8,0)+IF(X21&gt;=66,10,IF(X21&gt;=50,6,IF(X21&gt;=33,3,0)))</f>
        <v/>
      </c>
      <c r="AP21" s="4">
        <f>IF(AA21=1,5,0)+IF(AB21=1,5,0)+IF(AC21=1,5,0)+IF(AD21=1,5,0)+IF(AE21=1,5,0)+IF(AF21=1,5,0)</f>
        <v/>
      </c>
      <c r="AQ21" s="4">
        <f>IF(AG21&lt;&gt;"",AG21*8,0)+IF(AH21&lt;&gt;"",AH21*5,0)+IF(AI21&lt;&gt;"",AI21*10,0)+IF(AJ21&lt;&gt;"",AJ21*3,0)+IF(AK21=1,5,0)+IF(AL21&lt;&gt;"",AL21*5,0)</f>
        <v/>
      </c>
      <c r="AR21" s="4">
        <f>AM21+AN21+AO21+AP21+AQ21</f>
        <v/>
      </c>
    </row>
    <row r="22">
      <c r="A22" s="4" t="n">
        <v>19</v>
      </c>
      <c r="B22" s="4" t="inlineStr">
        <is>
          <t>Sun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>
        <f>SUMPRODUCT((TRUNC(C22:G22))*10)+SUMPRODUCT(ROUND((C22:G22-TRUNC(C22:G22))*10,0)*5)+IF(H22="",0,H22*10)</f>
        <v/>
      </c>
      <c r="AN22" s="4">
        <f>IF(AND(I22&gt;=70,I22&lt;=140),20,IF(AND(I22&gt;140,I22&lt;=180),10,0))+IF(J22&gt;=70,15,IF(J22&gt;=50,8,0))+IF(AND(K22&gt;0,K22&lt;=30),10,IF(AND(K22&gt;30,K22&lt;=50),5,0))+IF(L22=0,10,0)+IF(M22&gt;0,5,0)+IF(N22&lt;&gt;"",N22*2,0)</f>
        <v/>
      </c>
      <c r="AO22" s="4">
        <f>IF(AND(O22&gt;=7,O22&lt;=8),15,IF(AND(O22&gt;=6,O22&lt;7),8,IF(O22&gt;8,10,0)))+IF(P22&gt;=80,10,IF(P22&gt;=70,6,IF(P22&gt;=60,3,0)))+IF(Q22&lt;=60,15,IF(Q22&lt;=70,10,IF(Q22&lt;=80,5,0)))+IF(R22&gt;=50,10,IF(R22&gt;=40,6,IF(R22&gt;=30,3,0)))+IF(S22&gt;=45,15,IF(S22&gt;=40,12,IF(S22&gt;=35,8,IF(S22&gt;=30,4,0))))+IF(T22&gt;=10000,10,IF(T22&gt;=8000,7,IF(T22&gt;=6000,4,0)))+IF(U22&lt;&gt;"",U22*5,0)+IF(V22&lt;&gt;"",V22*10,0)+IF(W22&lt;&gt;"",W22*8,0)+IF(X22&gt;=66,10,IF(X22&gt;=50,6,IF(X22&gt;=33,3,0)))</f>
        <v/>
      </c>
      <c r="AP22" s="4">
        <f>IF(AA22=1,5,0)+IF(AB22=1,5,0)+IF(AC22=1,5,0)+IF(AD22=1,5,0)+IF(AE22=1,5,0)+IF(AF22=1,5,0)</f>
        <v/>
      </c>
      <c r="AQ22" s="4">
        <f>IF(AG22&lt;&gt;"",AG22*8,0)+IF(AH22&lt;&gt;"",AH22*5,0)+IF(AI22&lt;&gt;"",AI22*10,0)+IF(AJ22&lt;&gt;"",AJ22*3,0)+IF(AK22=1,5,0)+IF(AL22&lt;&gt;"",AL22*5,0)</f>
        <v/>
      </c>
      <c r="AR22" s="4">
        <f>AM22+AN22+AO22+AP22+AQ22</f>
        <v/>
      </c>
    </row>
    <row r="23">
      <c r="A23" s="4" t="n">
        <v>20</v>
      </c>
      <c r="B23" s="4" t="inlineStr">
        <is>
          <t>Mon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>
        <f>SUMPRODUCT((TRUNC(C23:G23))*10)+SUMPRODUCT(ROUND((C23:G23-TRUNC(C23:G23))*10,0)*5)+IF(H23="",0,H23*10)</f>
        <v/>
      </c>
      <c r="AN23" s="4">
        <f>IF(AND(I23&gt;=70,I23&lt;=140),20,IF(AND(I23&gt;140,I23&lt;=180),10,0))+IF(J23&gt;=70,15,IF(J23&gt;=50,8,0))+IF(AND(K23&gt;0,K23&lt;=30),10,IF(AND(K23&gt;30,K23&lt;=50),5,0))+IF(L23=0,10,0)+IF(M23&gt;0,5,0)+IF(N23&lt;&gt;"",N23*2,0)</f>
        <v/>
      </c>
      <c r="AO23" s="4">
        <f>IF(AND(O23&gt;=7,O23&lt;=8),15,IF(AND(O23&gt;=6,O23&lt;7),8,IF(O23&gt;8,10,0)))+IF(P23&gt;=80,10,IF(P23&gt;=70,6,IF(P23&gt;=60,3,0)))+IF(Q23&lt;=60,15,IF(Q23&lt;=70,10,IF(Q23&lt;=80,5,0)))+IF(R23&gt;=50,10,IF(R23&gt;=40,6,IF(R23&gt;=30,3,0)))+IF(S23&gt;=45,15,IF(S23&gt;=40,12,IF(S23&gt;=35,8,IF(S23&gt;=30,4,0))))+IF(T23&gt;=10000,10,IF(T23&gt;=8000,7,IF(T23&gt;=6000,4,0)))+IF(U23&lt;&gt;"",U23*5,0)+IF(V23&lt;&gt;"",V23*10,0)+IF(W23&lt;&gt;"",W23*8,0)+IF(X23&gt;=66,10,IF(X23&gt;=50,6,IF(X23&gt;=33,3,0)))</f>
        <v/>
      </c>
      <c r="AP23" s="4">
        <f>IF(AA23=1,5,0)+IF(AB23=1,5,0)+IF(AC23=1,5,0)+IF(AD23=1,5,0)+IF(AE23=1,5,0)+IF(AF23=1,5,0)</f>
        <v/>
      </c>
      <c r="AQ23" s="4">
        <f>IF(AG23&lt;&gt;"",AG23*8,0)+IF(AH23&lt;&gt;"",AH23*5,0)+IF(AI23&lt;&gt;"",AI23*10,0)+IF(AJ23&lt;&gt;"",AJ23*3,0)+IF(AK23=1,5,0)+IF(AL23&lt;&gt;"",AL23*5,0)</f>
        <v/>
      </c>
      <c r="AR23" s="4">
        <f>AM23+AN23+AO23+AP23+AQ23</f>
        <v/>
      </c>
    </row>
    <row r="24">
      <c r="A24" s="4" t="n">
        <v>21</v>
      </c>
      <c r="B24" s="4" t="inlineStr">
        <is>
          <t>Tue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>
        <f>SUMPRODUCT((TRUNC(C24:G24))*10)+SUMPRODUCT(ROUND((C24:G24-TRUNC(C24:G24))*10,0)*5)+IF(H24="",0,H24*10)</f>
        <v/>
      </c>
      <c r="AN24" s="4">
        <f>IF(AND(I24&gt;=70,I24&lt;=140),20,IF(AND(I24&gt;140,I24&lt;=180),10,0))+IF(J24&gt;=70,15,IF(J24&gt;=50,8,0))+IF(AND(K24&gt;0,K24&lt;=30),10,IF(AND(K24&gt;30,K24&lt;=50),5,0))+IF(L24=0,10,0)+IF(M24&gt;0,5,0)+IF(N24&lt;&gt;"",N24*2,0)</f>
        <v/>
      </c>
      <c r="AO24" s="4">
        <f>IF(AND(O24&gt;=7,O24&lt;=8),15,IF(AND(O24&gt;=6,O24&lt;7),8,IF(O24&gt;8,10,0)))+IF(P24&gt;=80,10,IF(P24&gt;=70,6,IF(P24&gt;=60,3,0)))+IF(Q24&lt;=60,15,IF(Q24&lt;=70,10,IF(Q24&lt;=80,5,0)))+IF(R24&gt;=50,10,IF(R24&gt;=40,6,IF(R24&gt;=30,3,0)))+IF(S24&gt;=45,15,IF(S24&gt;=40,12,IF(S24&gt;=35,8,IF(S24&gt;=30,4,0))))+IF(T24&gt;=10000,10,IF(T24&gt;=8000,7,IF(T24&gt;=6000,4,0)))+IF(U24&lt;&gt;"",U24*5,0)+IF(V24&lt;&gt;"",V24*10,0)+IF(W24&lt;&gt;"",W24*8,0)+IF(X24&gt;=66,10,IF(X24&gt;=50,6,IF(X24&gt;=33,3,0)))</f>
        <v/>
      </c>
      <c r="AP24" s="4">
        <f>IF(AA24=1,5,0)+IF(AB24=1,5,0)+IF(AC24=1,5,0)+IF(AD24=1,5,0)+IF(AE24=1,5,0)+IF(AF24=1,5,0)</f>
        <v/>
      </c>
      <c r="AQ24" s="4">
        <f>IF(AG24&lt;&gt;"",AG24*8,0)+IF(AH24&lt;&gt;"",AH24*5,0)+IF(AI24&lt;&gt;"",AI24*10,0)+IF(AJ24&lt;&gt;"",AJ24*3,0)+IF(AK24=1,5,0)+IF(AL24&lt;&gt;"",AL24*5,0)</f>
        <v/>
      </c>
      <c r="AR24" s="4">
        <f>AM24+AN24+AO24+AP24+AQ24</f>
        <v/>
      </c>
    </row>
    <row r="25">
      <c r="A25" s="4" t="n">
        <v>22</v>
      </c>
      <c r="B25" s="4" t="inlineStr">
        <is>
          <t>Wed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>
        <f>SUMPRODUCT((TRUNC(C25:G25))*10)+SUMPRODUCT(ROUND((C25:G25-TRUNC(C25:G25))*10,0)*5)+IF(H25="",0,H25*10)</f>
        <v/>
      </c>
      <c r="AN25" s="4">
        <f>IF(AND(I25&gt;=70,I25&lt;=140),20,IF(AND(I25&gt;140,I25&lt;=180),10,0))+IF(J25&gt;=70,15,IF(J25&gt;=50,8,0))+IF(AND(K25&gt;0,K25&lt;=30),10,IF(AND(K25&gt;30,K25&lt;=50),5,0))+IF(L25=0,10,0)+IF(M25&gt;0,5,0)+IF(N25&lt;&gt;"",N25*2,0)</f>
        <v/>
      </c>
      <c r="AO25" s="4">
        <f>IF(AND(O25&gt;=7,O25&lt;=8),15,IF(AND(O25&gt;=6,O25&lt;7),8,IF(O25&gt;8,10,0)))+IF(P25&gt;=80,10,IF(P25&gt;=70,6,IF(P25&gt;=60,3,0)))+IF(Q25&lt;=60,15,IF(Q25&lt;=70,10,IF(Q25&lt;=80,5,0)))+IF(R25&gt;=50,10,IF(R25&gt;=40,6,IF(R25&gt;=30,3,0)))+IF(S25&gt;=45,15,IF(S25&gt;=40,12,IF(S25&gt;=35,8,IF(S25&gt;=30,4,0))))+IF(T25&gt;=10000,10,IF(T25&gt;=8000,7,IF(T25&gt;=6000,4,0)))+IF(U25&lt;&gt;"",U25*5,0)+IF(V25&lt;&gt;"",V25*10,0)+IF(W25&lt;&gt;"",W25*8,0)+IF(X25&gt;=66,10,IF(X25&gt;=50,6,IF(X25&gt;=33,3,0)))</f>
        <v/>
      </c>
      <c r="AP25" s="4">
        <f>IF(AA25=1,5,0)+IF(AB25=1,5,0)+IF(AC25=1,5,0)+IF(AD25=1,5,0)+IF(AE25=1,5,0)+IF(AF25=1,5,0)</f>
        <v/>
      </c>
      <c r="AQ25" s="4">
        <f>IF(AG25&lt;&gt;"",AG25*8,0)+IF(AH25&lt;&gt;"",AH25*5,0)+IF(AI25&lt;&gt;"",AI25*10,0)+IF(AJ25&lt;&gt;"",AJ25*3,0)+IF(AK25=1,5,0)+IF(AL25&lt;&gt;"",AL25*5,0)</f>
        <v/>
      </c>
      <c r="AR25" s="4">
        <f>AM25+AN25+AO25+AP25+AQ25</f>
        <v/>
      </c>
    </row>
    <row r="26">
      <c r="A26" s="4" t="n">
        <v>23</v>
      </c>
      <c r="B26" s="4" t="inlineStr">
        <is>
          <t>Thu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>
        <f>SUMPRODUCT((TRUNC(C26:G26))*10)+SUMPRODUCT(ROUND((C26:G26-TRUNC(C26:G26))*10,0)*5)+IF(H26="",0,H26*10)</f>
        <v/>
      </c>
      <c r="AN26" s="4">
        <f>IF(AND(I26&gt;=70,I26&lt;=140),20,IF(AND(I26&gt;140,I26&lt;=180),10,0))+IF(J26&gt;=70,15,IF(J26&gt;=50,8,0))+IF(AND(K26&gt;0,K26&lt;=30),10,IF(AND(K26&gt;30,K26&lt;=50),5,0))+IF(L26=0,10,0)+IF(M26&gt;0,5,0)+IF(N26&lt;&gt;"",N26*2,0)</f>
        <v/>
      </c>
      <c r="AO26" s="4">
        <f>IF(AND(O26&gt;=7,O26&lt;=8),15,IF(AND(O26&gt;=6,O26&lt;7),8,IF(O26&gt;8,10,0)))+IF(P26&gt;=80,10,IF(P26&gt;=70,6,IF(P26&gt;=60,3,0)))+IF(Q26&lt;=60,15,IF(Q26&lt;=70,10,IF(Q26&lt;=80,5,0)))+IF(R26&gt;=50,10,IF(R26&gt;=40,6,IF(R26&gt;=30,3,0)))+IF(S26&gt;=45,15,IF(S26&gt;=40,12,IF(S26&gt;=35,8,IF(S26&gt;=30,4,0))))+IF(T26&gt;=10000,10,IF(T26&gt;=8000,7,IF(T26&gt;=6000,4,0)))+IF(U26&lt;&gt;"",U26*5,0)+IF(V26&lt;&gt;"",V26*10,0)+IF(W26&lt;&gt;"",W26*8,0)+IF(X26&gt;=66,10,IF(X26&gt;=50,6,IF(X26&gt;=33,3,0)))</f>
        <v/>
      </c>
      <c r="AP26" s="4">
        <f>IF(AA26=1,5,0)+IF(AB26=1,5,0)+IF(AC26=1,5,0)+IF(AD26=1,5,0)+IF(AE26=1,5,0)+IF(AF26=1,5,0)</f>
        <v/>
      </c>
      <c r="AQ26" s="4">
        <f>IF(AG26&lt;&gt;"",AG26*8,0)+IF(AH26&lt;&gt;"",AH26*5,0)+IF(AI26&lt;&gt;"",AI26*10,0)+IF(AJ26&lt;&gt;"",AJ26*3,0)+IF(AK26=1,5,0)+IF(AL26&lt;&gt;"",AL26*5,0)</f>
        <v/>
      </c>
      <c r="AR26" s="4">
        <f>AM26+AN26+AO26+AP26+AQ26</f>
        <v/>
      </c>
    </row>
    <row r="27">
      <c r="A27" s="4" t="n">
        <v>24</v>
      </c>
      <c r="B27" s="4" t="inlineStr">
        <is>
          <t>Fri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>
        <f>SUMPRODUCT((TRUNC(C27:G27))*10)+SUMPRODUCT(ROUND((C27:G27-TRUNC(C27:G27))*10,0)*5)+IF(H27="",0,H27*10)</f>
        <v/>
      </c>
      <c r="AN27" s="4">
        <f>IF(AND(I27&gt;=70,I27&lt;=140),20,IF(AND(I27&gt;140,I27&lt;=180),10,0))+IF(J27&gt;=70,15,IF(J27&gt;=50,8,0))+IF(AND(K27&gt;0,K27&lt;=30),10,IF(AND(K27&gt;30,K27&lt;=50),5,0))+IF(L27=0,10,0)+IF(M27&gt;0,5,0)+IF(N27&lt;&gt;"",N27*2,0)</f>
        <v/>
      </c>
      <c r="AO27" s="4">
        <f>IF(AND(O27&gt;=7,O27&lt;=8),15,IF(AND(O27&gt;=6,O27&lt;7),8,IF(O27&gt;8,10,0)))+IF(P27&gt;=80,10,IF(P27&gt;=70,6,IF(P27&gt;=60,3,0)))+IF(Q27&lt;=60,15,IF(Q27&lt;=70,10,IF(Q27&lt;=80,5,0)))+IF(R27&gt;=50,10,IF(R27&gt;=40,6,IF(R27&gt;=30,3,0)))+IF(S27&gt;=45,15,IF(S27&gt;=40,12,IF(S27&gt;=35,8,IF(S27&gt;=30,4,0))))+IF(T27&gt;=10000,10,IF(T27&gt;=8000,7,IF(T27&gt;=6000,4,0)))+IF(U27&lt;&gt;"",U27*5,0)+IF(V27&lt;&gt;"",V27*10,0)+IF(W27&lt;&gt;"",W27*8,0)+IF(X27&gt;=66,10,IF(X27&gt;=50,6,IF(X27&gt;=33,3,0)))</f>
        <v/>
      </c>
      <c r="AP27" s="4">
        <f>IF(AA27=1,5,0)+IF(AB27=1,5,0)+IF(AC27=1,5,0)+IF(AD27=1,5,0)+IF(AE27=1,5,0)+IF(AF27=1,5,0)</f>
        <v/>
      </c>
      <c r="AQ27" s="4">
        <f>IF(AG27&lt;&gt;"",AG27*8,0)+IF(AH27&lt;&gt;"",AH27*5,0)+IF(AI27&lt;&gt;"",AI27*10,0)+IF(AJ27&lt;&gt;"",AJ27*3,0)+IF(AK27=1,5,0)+IF(AL27&lt;&gt;"",AL27*5,0)</f>
        <v/>
      </c>
      <c r="AR27" s="4">
        <f>AM27+AN27+AO27+AP27+AQ27</f>
        <v/>
      </c>
    </row>
    <row r="28">
      <c r="A28" s="4" t="n">
        <v>25</v>
      </c>
      <c r="B28" s="4" t="inlineStr">
        <is>
          <t>Sat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>
        <f>SUMPRODUCT((TRUNC(C28:G28))*10)+SUMPRODUCT(ROUND((C28:G28-TRUNC(C28:G28))*10,0)*5)+IF(H28="",0,H28*10)</f>
        <v/>
      </c>
      <c r="AN28" s="4">
        <f>IF(AND(I28&gt;=70,I28&lt;=140),20,IF(AND(I28&gt;140,I28&lt;=180),10,0))+IF(J28&gt;=70,15,IF(J28&gt;=50,8,0))+IF(AND(K28&gt;0,K28&lt;=30),10,IF(AND(K28&gt;30,K28&lt;=50),5,0))+IF(L28=0,10,0)+IF(M28&gt;0,5,0)+IF(N28&lt;&gt;"",N28*2,0)</f>
        <v/>
      </c>
      <c r="AO28" s="4">
        <f>IF(AND(O28&gt;=7,O28&lt;=8),15,IF(AND(O28&gt;=6,O28&lt;7),8,IF(O28&gt;8,10,0)))+IF(P28&gt;=80,10,IF(P28&gt;=70,6,IF(P28&gt;=60,3,0)))+IF(Q28&lt;=60,15,IF(Q28&lt;=70,10,IF(Q28&lt;=80,5,0)))+IF(R28&gt;=50,10,IF(R28&gt;=40,6,IF(R28&gt;=30,3,0)))+IF(S28&gt;=45,15,IF(S28&gt;=40,12,IF(S28&gt;=35,8,IF(S28&gt;=30,4,0))))+IF(T28&gt;=10000,10,IF(T28&gt;=8000,7,IF(T28&gt;=6000,4,0)))+IF(U28&lt;&gt;"",U28*5,0)+IF(V28&lt;&gt;"",V28*10,0)+IF(W28&lt;&gt;"",W28*8,0)+IF(X28&gt;=66,10,IF(X28&gt;=50,6,IF(X28&gt;=33,3,0)))</f>
        <v/>
      </c>
      <c r="AP28" s="4">
        <f>IF(AA28=1,5,0)+IF(AB28=1,5,0)+IF(AC28=1,5,0)+IF(AD28=1,5,0)+IF(AE28=1,5,0)+IF(AF28=1,5,0)</f>
        <v/>
      </c>
      <c r="AQ28" s="4">
        <f>IF(AG28&lt;&gt;"",AG28*8,0)+IF(AH28&lt;&gt;"",AH28*5,0)+IF(AI28&lt;&gt;"",AI28*10,0)+IF(AJ28&lt;&gt;"",AJ28*3,0)+IF(AK28=1,5,0)+IF(AL28&lt;&gt;"",AL28*5,0)</f>
        <v/>
      </c>
      <c r="AR28" s="4">
        <f>AM28+AN28+AO28+AP28+AQ28</f>
        <v/>
      </c>
    </row>
    <row r="29">
      <c r="A29" s="4" t="n">
        <v>26</v>
      </c>
      <c r="B29" s="4" t="inlineStr">
        <is>
          <t>Sun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>
        <f>SUMPRODUCT((TRUNC(C29:G29))*10)+SUMPRODUCT(ROUND((C29:G29-TRUNC(C29:G29))*10,0)*5)+IF(H29="",0,H29*10)</f>
        <v/>
      </c>
      <c r="AN29" s="4">
        <f>IF(AND(I29&gt;=70,I29&lt;=140),20,IF(AND(I29&gt;140,I29&lt;=180),10,0))+IF(J29&gt;=70,15,IF(J29&gt;=50,8,0))+IF(AND(K29&gt;0,K29&lt;=30),10,IF(AND(K29&gt;30,K29&lt;=50),5,0))+IF(L29=0,10,0)+IF(M29&gt;0,5,0)+IF(N29&lt;&gt;"",N29*2,0)</f>
        <v/>
      </c>
      <c r="AO29" s="4">
        <f>IF(AND(O29&gt;=7,O29&lt;=8),15,IF(AND(O29&gt;=6,O29&lt;7),8,IF(O29&gt;8,10,0)))+IF(P29&gt;=80,10,IF(P29&gt;=70,6,IF(P29&gt;=60,3,0)))+IF(Q29&lt;=60,15,IF(Q29&lt;=70,10,IF(Q29&lt;=80,5,0)))+IF(R29&gt;=50,10,IF(R29&gt;=40,6,IF(R29&gt;=30,3,0)))+IF(S29&gt;=45,15,IF(S29&gt;=40,12,IF(S29&gt;=35,8,IF(S29&gt;=30,4,0))))+IF(T29&gt;=10000,10,IF(T29&gt;=8000,7,IF(T29&gt;=6000,4,0)))+IF(U29&lt;&gt;"",U29*5,0)+IF(V29&lt;&gt;"",V29*10,0)+IF(W29&lt;&gt;"",W29*8,0)+IF(X29&gt;=66,10,IF(X29&gt;=50,6,IF(X29&gt;=33,3,0)))</f>
        <v/>
      </c>
      <c r="AP29" s="4">
        <f>IF(AA29=1,5,0)+IF(AB29=1,5,0)+IF(AC29=1,5,0)+IF(AD29=1,5,0)+IF(AE29=1,5,0)+IF(AF29=1,5,0)</f>
        <v/>
      </c>
      <c r="AQ29" s="4">
        <f>IF(AG29&lt;&gt;"",AG29*8,0)+IF(AH29&lt;&gt;"",AH29*5,0)+IF(AI29&lt;&gt;"",AI29*10,0)+IF(AJ29&lt;&gt;"",AJ29*3,0)+IF(AK29=1,5,0)+IF(AL29&lt;&gt;"",AL29*5,0)</f>
        <v/>
      </c>
      <c r="AR29" s="4">
        <f>AM29+AN29+AO29+AP29+AQ29</f>
        <v/>
      </c>
    </row>
    <row r="30">
      <c r="A30" s="4" t="n">
        <v>27</v>
      </c>
      <c r="B30" s="4" t="inlineStr">
        <is>
          <t>Mon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>
        <f>SUMPRODUCT((TRUNC(C30:G30))*10)+SUMPRODUCT(ROUND((C30:G30-TRUNC(C30:G30))*10,0)*5)+IF(H30="",0,H30*10)</f>
        <v/>
      </c>
      <c r="AN30" s="4">
        <f>IF(AND(I30&gt;=70,I30&lt;=140),20,IF(AND(I30&gt;140,I30&lt;=180),10,0))+IF(J30&gt;=70,15,IF(J30&gt;=50,8,0))+IF(AND(K30&gt;0,K30&lt;=30),10,IF(AND(K30&gt;30,K30&lt;=50),5,0))+IF(L30=0,10,0)+IF(M30&gt;0,5,0)+IF(N30&lt;&gt;"",N30*2,0)</f>
        <v/>
      </c>
      <c r="AO30" s="4">
        <f>IF(AND(O30&gt;=7,O30&lt;=8),15,IF(AND(O30&gt;=6,O30&lt;7),8,IF(O30&gt;8,10,0)))+IF(P30&gt;=80,10,IF(P30&gt;=70,6,IF(P30&gt;=60,3,0)))+IF(Q30&lt;=60,15,IF(Q30&lt;=70,10,IF(Q30&lt;=80,5,0)))+IF(R30&gt;=50,10,IF(R30&gt;=40,6,IF(R30&gt;=30,3,0)))+IF(S30&gt;=45,15,IF(S30&gt;=40,12,IF(S30&gt;=35,8,IF(S30&gt;=30,4,0))))+IF(T30&gt;=10000,10,IF(T30&gt;=8000,7,IF(T30&gt;=6000,4,0)))+IF(U30&lt;&gt;"",U30*5,0)+IF(V30&lt;&gt;"",V30*10,0)+IF(W30&lt;&gt;"",W30*8,0)+IF(X30&gt;=66,10,IF(X30&gt;=50,6,IF(X30&gt;=33,3,0)))</f>
        <v/>
      </c>
      <c r="AP30" s="4">
        <f>IF(AA30=1,5,0)+IF(AB30=1,5,0)+IF(AC30=1,5,0)+IF(AD30=1,5,0)+IF(AE30=1,5,0)+IF(AF30=1,5,0)</f>
        <v/>
      </c>
      <c r="AQ30" s="4">
        <f>IF(AG30&lt;&gt;"",AG30*8,0)+IF(AH30&lt;&gt;"",AH30*5,0)+IF(AI30&lt;&gt;"",AI30*10,0)+IF(AJ30&lt;&gt;"",AJ30*3,0)+IF(AK30=1,5,0)+IF(AL30&lt;&gt;"",AL30*5,0)</f>
        <v/>
      </c>
      <c r="AR30" s="4">
        <f>AM30+AN30+AO30+AP30+AQ30</f>
        <v/>
      </c>
    </row>
    <row r="31">
      <c r="A31" s="4" t="n">
        <v>28</v>
      </c>
      <c r="B31" s="4" t="inlineStr">
        <is>
          <t>Tue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>
        <f>SUMPRODUCT((TRUNC(C31:G31))*10)+SUMPRODUCT(ROUND((C31:G31-TRUNC(C31:G31))*10,0)*5)+IF(H31="",0,H31*10)</f>
        <v/>
      </c>
      <c r="AN31" s="4">
        <f>IF(AND(I31&gt;=70,I31&lt;=140),20,IF(AND(I31&gt;140,I31&lt;=180),10,0))+IF(J31&gt;=70,15,IF(J31&gt;=50,8,0))+IF(AND(K31&gt;0,K31&lt;=30),10,IF(AND(K31&gt;30,K31&lt;=50),5,0))+IF(L31=0,10,0)+IF(M31&gt;0,5,0)+IF(N31&lt;&gt;"",N31*2,0)</f>
        <v/>
      </c>
      <c r="AO31" s="4">
        <f>IF(AND(O31&gt;=7,O31&lt;=8),15,IF(AND(O31&gt;=6,O31&lt;7),8,IF(O31&gt;8,10,0)))+IF(P31&gt;=80,10,IF(P31&gt;=70,6,IF(P31&gt;=60,3,0)))+IF(Q31&lt;=60,15,IF(Q31&lt;=70,10,IF(Q31&lt;=80,5,0)))+IF(R31&gt;=50,10,IF(R31&gt;=40,6,IF(R31&gt;=30,3,0)))+IF(S31&gt;=45,15,IF(S31&gt;=40,12,IF(S31&gt;=35,8,IF(S31&gt;=30,4,0))))+IF(T31&gt;=10000,10,IF(T31&gt;=8000,7,IF(T31&gt;=6000,4,0)))+IF(U31&lt;&gt;"",U31*5,0)+IF(V31&lt;&gt;"",V31*10,0)+IF(W31&lt;&gt;"",W31*8,0)+IF(X31&gt;=66,10,IF(X31&gt;=50,6,IF(X31&gt;=33,3,0)))</f>
        <v/>
      </c>
      <c r="AP31" s="4">
        <f>IF(AA31=1,5,0)+IF(AB31=1,5,0)+IF(AC31=1,5,0)+IF(AD31=1,5,0)+IF(AE31=1,5,0)+IF(AF31=1,5,0)</f>
        <v/>
      </c>
      <c r="AQ31" s="4">
        <f>IF(AG31&lt;&gt;"",AG31*8,0)+IF(AH31&lt;&gt;"",AH31*5,0)+IF(AI31&lt;&gt;"",AI31*10,0)+IF(AJ31&lt;&gt;"",AJ31*3,0)+IF(AK31=1,5,0)+IF(AL31&lt;&gt;"",AL31*5,0)</f>
        <v/>
      </c>
      <c r="AR31" s="4">
        <f>AM31+AN31+AO31+AP31+AQ31</f>
        <v/>
      </c>
    </row>
    <row r="32">
      <c r="A32" s="4" t="n">
        <v>29</v>
      </c>
      <c r="B32" s="4" t="inlineStr">
        <is>
          <t>Wed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>
        <f>SUMPRODUCT((TRUNC(C32:G32))*10)+SUMPRODUCT(ROUND((C32:G32-TRUNC(C32:G32))*10,0)*5)+IF(H32="",0,H32*10)</f>
        <v/>
      </c>
      <c r="AN32" s="4">
        <f>IF(AND(I32&gt;=70,I32&lt;=140),20,IF(AND(I32&gt;140,I32&lt;=180),10,0))+IF(J32&gt;=70,15,IF(J32&gt;=50,8,0))+IF(AND(K32&gt;0,K32&lt;=30),10,IF(AND(K32&gt;30,K32&lt;=50),5,0))+IF(L32=0,10,0)+IF(M32&gt;0,5,0)+IF(N32&lt;&gt;"",N32*2,0)</f>
        <v/>
      </c>
      <c r="AO32" s="4">
        <f>IF(AND(O32&gt;=7,O32&lt;=8),15,IF(AND(O32&gt;=6,O32&lt;7),8,IF(O32&gt;8,10,0)))+IF(P32&gt;=80,10,IF(P32&gt;=70,6,IF(P32&gt;=60,3,0)))+IF(Q32&lt;=60,15,IF(Q32&lt;=70,10,IF(Q32&lt;=80,5,0)))+IF(R32&gt;=50,10,IF(R32&gt;=40,6,IF(R32&gt;=30,3,0)))+IF(S32&gt;=45,15,IF(S32&gt;=40,12,IF(S32&gt;=35,8,IF(S32&gt;=30,4,0))))+IF(T32&gt;=10000,10,IF(T32&gt;=8000,7,IF(T32&gt;=6000,4,0)))+IF(U32&lt;&gt;"",U32*5,0)+IF(V32&lt;&gt;"",V32*10,0)+IF(W32&lt;&gt;"",W32*8,0)+IF(X32&gt;=66,10,IF(X32&gt;=50,6,IF(X32&gt;=33,3,0)))</f>
        <v/>
      </c>
      <c r="AP32" s="4">
        <f>IF(AA32=1,5,0)+IF(AB32=1,5,0)+IF(AC32=1,5,0)+IF(AD32=1,5,0)+IF(AE32=1,5,0)+IF(AF32=1,5,0)</f>
        <v/>
      </c>
      <c r="AQ32" s="4">
        <f>IF(AG32&lt;&gt;"",AG32*8,0)+IF(AH32&lt;&gt;"",AH32*5,0)+IF(AI32&lt;&gt;"",AI32*10,0)+IF(AJ32&lt;&gt;"",AJ32*3,0)+IF(AK32=1,5,0)+IF(AL32&lt;&gt;"",AL32*5,0)</f>
        <v/>
      </c>
      <c r="AR32" s="4">
        <f>AM32+AN32+AO32+AP32+AQ32</f>
        <v/>
      </c>
    </row>
    <row r="33">
      <c r="A33" s="4" t="n">
        <v>30</v>
      </c>
      <c r="B33" s="4" t="inlineStr">
        <is>
          <t>Thu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>
        <f>SUMPRODUCT((TRUNC(C33:G33))*10)+SUMPRODUCT(ROUND((C33:G33-TRUNC(C33:G33))*10,0)*5)+IF(H33="",0,H33*10)</f>
        <v/>
      </c>
      <c r="AN33" s="4">
        <f>IF(AND(I33&gt;=70,I33&lt;=140),20,IF(AND(I33&gt;140,I33&lt;=180),10,0))+IF(J33&gt;=70,15,IF(J33&gt;=50,8,0))+IF(AND(K33&gt;0,K33&lt;=30),10,IF(AND(K33&gt;30,K33&lt;=50),5,0))+IF(L33=0,10,0)+IF(M33&gt;0,5,0)+IF(N33&lt;&gt;"",N33*2,0)</f>
        <v/>
      </c>
      <c r="AO33" s="4">
        <f>IF(AND(O33&gt;=7,O33&lt;=8),15,IF(AND(O33&gt;=6,O33&lt;7),8,IF(O33&gt;8,10,0)))+IF(P33&gt;=80,10,IF(P33&gt;=70,6,IF(P33&gt;=60,3,0)))+IF(Q33&lt;=60,15,IF(Q33&lt;=70,10,IF(Q33&lt;=80,5,0)))+IF(R33&gt;=50,10,IF(R33&gt;=40,6,IF(R33&gt;=30,3,0)))+IF(S33&gt;=45,15,IF(S33&gt;=40,12,IF(S33&gt;=35,8,IF(S33&gt;=30,4,0))))+IF(T33&gt;=10000,10,IF(T33&gt;=8000,7,IF(T33&gt;=6000,4,0)))+IF(U33&lt;&gt;"",U33*5,0)+IF(V33&lt;&gt;"",V33*10,0)+IF(W33&lt;&gt;"",W33*8,0)+IF(X33&gt;=66,10,IF(X33&gt;=50,6,IF(X33&gt;=33,3,0)))</f>
        <v/>
      </c>
      <c r="AP33" s="4">
        <f>IF(AA33=1,5,0)+IF(AB33=1,5,0)+IF(AC33=1,5,0)+IF(AD33=1,5,0)+IF(AE33=1,5,0)+IF(AF33=1,5,0)</f>
        <v/>
      </c>
      <c r="AQ33" s="4">
        <f>IF(AG33&lt;&gt;"",AG33*8,0)+IF(AH33&lt;&gt;"",AH33*5,0)+IF(AI33&lt;&gt;"",AI33*10,0)+IF(AJ33&lt;&gt;"",AJ33*3,0)+IF(AK33=1,5,0)+IF(AL33&lt;&gt;"",AL33*5,0)</f>
        <v/>
      </c>
      <c r="AR33" s="4">
        <f>AM33+AN33+AO33+AP33+AQ33</f>
        <v/>
      </c>
    </row>
    <row r="34">
      <c r="A34" s="4" t="n">
        <v>31</v>
      </c>
      <c r="B34" s="4" t="inlineStr">
        <is>
          <t>Fri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>
        <f>SUMPRODUCT((TRUNC(C34:G34))*10)+SUMPRODUCT(ROUND((C34:G34-TRUNC(C34:G34))*10,0)*5)+IF(H34="",0,H34*10)</f>
        <v/>
      </c>
      <c r="AN34" s="4">
        <f>IF(AND(I34&gt;=70,I34&lt;=140),20,IF(AND(I34&gt;140,I34&lt;=180),10,0))+IF(J34&gt;=70,15,IF(J34&gt;=50,8,0))+IF(AND(K34&gt;0,K34&lt;=30),10,IF(AND(K34&gt;30,K34&lt;=50),5,0))+IF(L34=0,10,0)+IF(M34&gt;0,5,0)+IF(N34&lt;&gt;"",N34*2,0)</f>
        <v/>
      </c>
      <c r="AO34" s="4">
        <f>IF(AND(O34&gt;=7,O34&lt;=8),15,IF(AND(O34&gt;=6,O34&lt;7),8,IF(O34&gt;8,10,0)))+IF(P34&gt;=80,10,IF(P34&gt;=70,6,IF(P34&gt;=60,3,0)))+IF(Q34&lt;=60,15,IF(Q34&lt;=70,10,IF(Q34&lt;=80,5,0)))+IF(R34&gt;=50,10,IF(R34&gt;=40,6,IF(R34&gt;=30,3,0)))+IF(S34&gt;=45,15,IF(S34&gt;=40,12,IF(S34&gt;=35,8,IF(S34&gt;=30,4,0))))+IF(T34&gt;=10000,10,IF(T34&gt;=8000,7,IF(T34&gt;=6000,4,0)))+IF(U34&lt;&gt;"",U34*5,0)+IF(V34&lt;&gt;"",V34*10,0)+IF(W34&lt;&gt;"",W34*8,0)+IF(X34&gt;=66,10,IF(X34&gt;=50,6,IF(X34&gt;=33,3,0)))</f>
        <v/>
      </c>
      <c r="AP34" s="4">
        <f>IF(AA34=1,5,0)+IF(AB34=1,5,0)+IF(AC34=1,5,0)+IF(AD34=1,5,0)+IF(AE34=1,5,0)+IF(AF34=1,5,0)</f>
        <v/>
      </c>
      <c r="AQ34" s="4">
        <f>IF(AG34&lt;&gt;"",AG34*8,0)+IF(AH34&lt;&gt;"",AH34*5,0)+IF(AI34&lt;&gt;"",AI34*10,0)+IF(AJ34&lt;&gt;"",AJ34*3,0)+IF(AK34=1,5,0)+IF(AL34&lt;&gt;"",AL34*5,0)</f>
        <v/>
      </c>
      <c r="AR34" s="4">
        <f>AM34+AN34+AO34+AP34+AQ34</f>
        <v/>
      </c>
    </row>
  </sheetData>
  <mergeCells count="7">
    <mergeCell ref="AA1:AF1"/>
    <mergeCell ref="AG1:AL1"/>
    <mergeCell ref="O1:Z1"/>
    <mergeCell ref="I1:N1"/>
    <mergeCell ref="AM1:AR1"/>
    <mergeCell ref="A1:B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2026-01-27T11:09:28Z</dcterms:created>
  <dcterms:modified xmlns:dcterms="http://purl.org/dc/terms/" xmlns:xsi="http://www.w3.org/2001/XMLSchema-instance" xsi:type="dcterms:W3CDTF">2026-01-27T11:10:02Z</dcterms:modified>
</cp:coreProperties>
</file>